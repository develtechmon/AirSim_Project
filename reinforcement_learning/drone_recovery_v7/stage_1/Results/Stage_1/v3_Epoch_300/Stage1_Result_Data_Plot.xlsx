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kas\Desktop\My_Project\AirSim_Project\reinforcement_learning\drone_recovery_v7\stage_1\Results\Stage_1\v3_Epoch_300\"/>
    </mc:Choice>
  </mc:AlternateContent>
  <xr:revisionPtr revIDLastSave="0" documentId="13_ncr:1_{D747DD51-F1F0-4E3B-97A9-313DCF606295}" xr6:coauthVersionLast="47" xr6:coauthVersionMax="47" xr10:uidLastSave="{00000000-0000-0000-0000-000000000000}"/>
  <bookViews>
    <workbookView xWindow="32200" yWindow="6520" windowWidth="15870" windowHeight="8720" firstSheet="2" activeTab="2" xr2:uid="{00000000-000D-0000-FFFF-FFFF00000000}"/>
  </bookViews>
  <sheets>
    <sheet name="Epoch_Train_Val_Loss" sheetId="2" r:id="rId1"/>
    <sheet name="Mean Episode Altitude" sheetId="1" r:id="rId2"/>
    <sheet name="Root Mean Squared Error" sheetId="3" r:id="rId3"/>
    <sheet name="Altitude Standard Deviation" sheetId="4" r:id="rId4"/>
    <sheet name="Horizontal Drift" sheetId="5" r:id="rId5"/>
    <sheet name="Policy_Test" sheetId="7" r:id="rId6"/>
    <sheet name="Summary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D22" i="3"/>
  <c r="H13" i="7"/>
  <c r="G13" i="7"/>
  <c r="K13" i="7" s="1"/>
  <c r="F13" i="7"/>
  <c r="E13" i="7"/>
  <c r="D13" i="7"/>
  <c r="J13" i="7" s="1"/>
  <c r="H12" i="7"/>
  <c r="G12" i="7"/>
  <c r="K12" i="7" s="1"/>
  <c r="F12" i="7"/>
  <c r="E12" i="7"/>
  <c r="D12" i="7"/>
  <c r="J12" i="7" s="1"/>
  <c r="K11" i="7"/>
  <c r="J11" i="7"/>
  <c r="H11" i="7"/>
  <c r="G11" i="7"/>
  <c r="F11" i="7"/>
  <c r="E11" i="7"/>
  <c r="D11" i="7"/>
  <c r="H10" i="7"/>
  <c r="G10" i="7"/>
  <c r="K10" i="7" s="1"/>
  <c r="F10" i="7"/>
  <c r="E10" i="7"/>
  <c r="D10" i="7"/>
  <c r="J10" i="7" s="1"/>
  <c r="H9" i="7"/>
  <c r="G9" i="7"/>
  <c r="K9" i="7" s="1"/>
  <c r="F9" i="7"/>
  <c r="E9" i="7"/>
  <c r="D9" i="7"/>
  <c r="J9" i="7" s="1"/>
  <c r="H8" i="7"/>
  <c r="G8" i="7"/>
  <c r="K8" i="7" s="1"/>
  <c r="F8" i="7"/>
  <c r="E8" i="7"/>
  <c r="D8" i="7"/>
  <c r="J8" i="7" s="1"/>
  <c r="J7" i="7"/>
  <c r="H7" i="7"/>
  <c r="G7" i="7"/>
  <c r="K7" i="7" s="1"/>
  <c r="F7" i="7"/>
  <c r="E7" i="7"/>
  <c r="D7" i="7"/>
  <c r="H6" i="7"/>
  <c r="G6" i="7"/>
  <c r="K6" i="7" s="1"/>
  <c r="F6" i="7"/>
  <c r="E6" i="7"/>
  <c r="D6" i="7"/>
  <c r="J6" i="7" s="1"/>
  <c r="H5" i="7"/>
  <c r="G5" i="7"/>
  <c r="K5" i="7" s="1"/>
  <c r="F5" i="7"/>
  <c r="E5" i="7"/>
  <c r="D5" i="7"/>
  <c r="J5" i="7" s="1"/>
  <c r="K4" i="7"/>
  <c r="H4" i="7"/>
  <c r="G4" i="7"/>
  <c r="F4" i="7"/>
  <c r="E4" i="7"/>
  <c r="D4" i="7"/>
  <c r="J4" i="7" s="1"/>
  <c r="K3" i="7"/>
  <c r="J3" i="7"/>
  <c r="N17" i="6"/>
  <c r="M17" i="6"/>
  <c r="L17" i="6"/>
  <c r="K17" i="6"/>
  <c r="J17" i="6"/>
  <c r="I17" i="6"/>
  <c r="H17" i="6"/>
  <c r="H19" i="5"/>
  <c r="H18" i="5"/>
  <c r="I17" i="5"/>
  <c r="H17" i="5"/>
  <c r="D19" i="4"/>
  <c r="D18" i="4"/>
  <c r="G17" i="4"/>
  <c r="D17" i="4"/>
  <c r="K31" i="3"/>
  <c r="K6" i="3"/>
  <c r="K5" i="3"/>
  <c r="K8" i="3"/>
  <c r="K9" i="3" s="1"/>
  <c r="K10" i="3" s="1"/>
  <c r="E19" i="3"/>
  <c r="E18" i="3"/>
  <c r="H17" i="3"/>
  <c r="E17" i="3"/>
  <c r="C19" i="1"/>
  <c r="C18" i="1"/>
  <c r="F17" i="1"/>
  <c r="C17" i="1"/>
</calcChain>
</file>

<file path=xl/sharedStrings.xml><?xml version="1.0" encoding="utf-8"?>
<sst xmlns="http://schemas.openxmlformats.org/spreadsheetml/2006/main" count="107" uniqueCount="61">
  <si>
    <t>Airsim Collection with Episode 600 --Steps 200 and Epoch 300</t>
  </si>
  <si>
    <t>Epoch</t>
  </si>
  <si>
    <t>Train Loss</t>
  </si>
  <si>
    <t>Training</t>
  </si>
  <si>
    <t>Val Loss</t>
  </si>
  <si>
    <t>Time</t>
  </si>
  <si>
    <t>Ep</t>
  </si>
  <si>
    <t>BL alt</t>
  </si>
  <si>
    <t>BL std</t>
  </si>
  <si>
    <t>BL RMSE</t>
  </si>
  <si>
    <t>BC Alt</t>
  </si>
  <si>
    <t>BC Std</t>
  </si>
  <si>
    <t>BC RMSE</t>
  </si>
  <si>
    <t>Mean Alt</t>
  </si>
  <si>
    <t>Gap %</t>
  </si>
  <si>
    <t>Mean Altitude</t>
  </si>
  <si>
    <t>Gap</t>
  </si>
  <si>
    <t>Efficiency Calculation</t>
  </si>
  <si>
    <t>Value</t>
  </si>
  <si>
    <t>Baseline_rmse</t>
  </si>
  <si>
    <t>Policy_rmse</t>
  </si>
  <si>
    <t>gap = policy _rmse-bl_rmse</t>
  </si>
  <si>
    <t>normalise = gap/bl_rmse</t>
  </si>
  <si>
    <t>transfer_efff % = 100 x (1-norm)</t>
  </si>
  <si>
    <t>Mean RMSE</t>
  </si>
  <si>
    <t>BL RMSE  is 0.38286</t>
  </si>
  <si>
    <t>BC RMSE is 0.41381</t>
  </si>
  <si>
    <t>RMSE ratio is 1.08 with Transfer efficiency of 91%</t>
  </si>
  <si>
    <t>BC Max Dist</t>
  </si>
  <si>
    <t>BL Max Dist</t>
  </si>
  <si>
    <t>Max Mean dist from target</t>
  </si>
  <si>
    <t>TABLE 1 - MAIN COMPARISON</t>
  </si>
  <si>
    <t>Metric</t>
  </si>
  <si>
    <t>PID Expert</t>
  </si>
  <si>
    <t>BC Policy</t>
  </si>
  <si>
    <t>Mean Altitude (m)</t>
  </si>
  <si>
    <t>Mean altitude error (m)</t>
  </si>
  <si>
    <t>RMSE from target (m)</t>
  </si>
  <si>
    <t>Altitude std (m)</t>
  </si>
  <si>
    <t>Max horiz. drift (m)</t>
  </si>
  <si>
    <t>RMSE ratio (policy/baseline)</t>
  </si>
  <si>
    <t>Transfer efficiency (%)</t>
  </si>
  <si>
    <t>TABLE 2 - PER-EPISODE RMSE</t>
  </si>
  <si>
    <t>Mean</t>
  </si>
  <si>
    <t>======================================================================</t>
  </si>
  <si>
    <t>Episode  1/10 | Steps: 500 | Success: ✅ | Avg Dist: 0.03m | Reason: completed</t>
  </si>
  <si>
    <t>Episode  2/10 | Steps: 500 | Success: ✅ | Avg Dist: 0.03m | Reason: completed</t>
  </si>
  <si>
    <t>Episode  3/10 | Steps: 500 | Success: ✅ | Avg Dist: 0.03m | Reason: completed</t>
  </si>
  <si>
    <t>Episode  4/10 | Steps: 500 | Success: ✅ | Avg Dist: 0.03m | Reason: completed</t>
  </si>
  <si>
    <t>Episode  5/10 | Steps: 500 | Success: ✅ | Avg Dist: 0.03m | Reason: completed</t>
  </si>
  <si>
    <t>Episode  6/10 | Steps: 500 | Success: ✅ | Avg Dist: 0.03m | Reason: completed</t>
  </si>
  <si>
    <t>Episode  7/10 | Steps: 500 | Success: ✅ | Avg Dist: 0.03m | Reason: completed</t>
  </si>
  <si>
    <t>Episode  8/10 | Steps: 500 | Success: ✅ | Avg Dist: 0.03m | Reason: completed</t>
  </si>
  <si>
    <t>Episode  9/10 | Steps: 500 | Success: ✅ | Avg Dist: 0.03m | Reason: completed</t>
  </si>
  <si>
    <t>Episode 10/10 | Steps: 500 | Success: ✅ | Avg Dist: 0.03m | Reason: completed</t>
  </si>
  <si>
    <t>Episode</t>
  </si>
  <si>
    <t>Steps</t>
  </si>
  <si>
    <t>Success</t>
  </si>
  <si>
    <t>Avg Dist (m)</t>
  </si>
  <si>
    <t>Reason</t>
  </si>
  <si>
    <t>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</si>
</sst>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0" fillId="0" borderId="1" xfId="0" applyBorder="1"/>
    <xf numFmtId="0" fontId="0" fillId="4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6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BC Policy Training and Validation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Epoch_Train_Val_Loss!$C$5</c:f>
              <c:strCache>
                <c:ptCount val="1"/>
                <c:pt idx="0">
                  <c:v>Train 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Epoch_Train_Val_Loss!$B$6:$B$35</c:f>
              <c:numCache>
                <c:formatCode>0.000</c:formatCode>
                <c:ptCount val="30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</c:numCache>
            </c:numRef>
          </c:cat>
          <c:val>
            <c:numRef>
              <c:f>Epoch_Train_Val_Loss!$C$6:$C$35</c:f>
              <c:numCache>
                <c:formatCode>0.000</c:formatCode>
                <c:ptCount val="30"/>
                <c:pt idx="0">
                  <c:v>0.31430000000000002</c:v>
                </c:pt>
                <c:pt idx="1">
                  <c:v>5.3400000000000003E-2</c:v>
                </c:pt>
                <c:pt idx="2">
                  <c:v>2.7799999999999998E-2</c:v>
                </c:pt>
                <c:pt idx="3">
                  <c:v>1.9099999999999999E-2</c:v>
                </c:pt>
                <c:pt idx="4">
                  <c:v>1.2999999999999999E-2</c:v>
                </c:pt>
                <c:pt idx="5">
                  <c:v>1.14E-2</c:v>
                </c:pt>
                <c:pt idx="6">
                  <c:v>1.18E-2</c:v>
                </c:pt>
                <c:pt idx="7">
                  <c:v>9.1000000000000004E-3</c:v>
                </c:pt>
                <c:pt idx="8">
                  <c:v>1.0999999999999999E-2</c:v>
                </c:pt>
                <c:pt idx="9">
                  <c:v>8.3000000000000001E-3</c:v>
                </c:pt>
                <c:pt idx="10">
                  <c:v>8.5000000000000006E-3</c:v>
                </c:pt>
                <c:pt idx="11">
                  <c:v>8.6E-3</c:v>
                </c:pt>
                <c:pt idx="12">
                  <c:v>9.4999999999999998E-3</c:v>
                </c:pt>
                <c:pt idx="13">
                  <c:v>6.7999999999999996E-3</c:v>
                </c:pt>
                <c:pt idx="14">
                  <c:v>6.7999999999999996E-3</c:v>
                </c:pt>
                <c:pt idx="15">
                  <c:v>1.11E-2</c:v>
                </c:pt>
                <c:pt idx="16">
                  <c:v>6.3E-3</c:v>
                </c:pt>
                <c:pt idx="17">
                  <c:v>6.7999999999999996E-3</c:v>
                </c:pt>
                <c:pt idx="18">
                  <c:v>9.2999999999999992E-3</c:v>
                </c:pt>
                <c:pt idx="19">
                  <c:v>8.2000000000000007E-3</c:v>
                </c:pt>
                <c:pt idx="20">
                  <c:v>6.1000000000000004E-3</c:v>
                </c:pt>
                <c:pt idx="21">
                  <c:v>6.1999999999999998E-3</c:v>
                </c:pt>
                <c:pt idx="22">
                  <c:v>6.1000000000000004E-3</c:v>
                </c:pt>
                <c:pt idx="23">
                  <c:v>6.1000000000000004E-3</c:v>
                </c:pt>
                <c:pt idx="24">
                  <c:v>7.0000000000000001E-3</c:v>
                </c:pt>
                <c:pt idx="25">
                  <c:v>6.4999999999999997E-3</c:v>
                </c:pt>
                <c:pt idx="26">
                  <c:v>5.0000000000000001E-3</c:v>
                </c:pt>
                <c:pt idx="27">
                  <c:v>5.4000000000000003E-3</c:v>
                </c:pt>
                <c:pt idx="28">
                  <c:v>5.1000000000000004E-3</c:v>
                </c:pt>
                <c:pt idx="29">
                  <c:v>5.8999999999999999E-3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E9-4CD5-8AF7-1AC2DC06922D}"/>
            </c:ext>
          </c:extLst>
        </c:ser>
        <c:ser>
          <c:idx val="2"/>
          <c:order val="2"/>
          <c:tx>
            <c:strRef>
              <c:f>Epoch_Train_Val_Loss!$D$5</c:f>
              <c:strCache>
                <c:ptCount val="1"/>
                <c:pt idx="0">
                  <c:v>Val Loss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Epoch_Train_Val_Loss!$B$6:$B$35</c:f>
              <c:numCache>
                <c:formatCode>0.000</c:formatCode>
                <c:ptCount val="30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</c:numCache>
            </c:numRef>
          </c:cat>
          <c:val>
            <c:numRef>
              <c:f>Epoch_Train_Val_Loss!$D$6:$D$35</c:f>
              <c:numCache>
                <c:formatCode>0.000</c:formatCode>
                <c:ptCount val="30"/>
                <c:pt idx="0">
                  <c:v>0.2278</c:v>
                </c:pt>
                <c:pt idx="1">
                  <c:v>5.1799999999999999E-2</c:v>
                </c:pt>
                <c:pt idx="2">
                  <c:v>3.5200000000000002E-2</c:v>
                </c:pt>
                <c:pt idx="3">
                  <c:v>1.5100000000000001E-2</c:v>
                </c:pt>
                <c:pt idx="4">
                  <c:v>1.0699999999999999E-2</c:v>
                </c:pt>
                <c:pt idx="5">
                  <c:v>1.84E-2</c:v>
                </c:pt>
                <c:pt idx="6">
                  <c:v>8.8999999999999999E-3</c:v>
                </c:pt>
                <c:pt idx="7">
                  <c:v>9.4000000000000004E-3</c:v>
                </c:pt>
                <c:pt idx="8">
                  <c:v>6.4999999999999997E-3</c:v>
                </c:pt>
                <c:pt idx="9">
                  <c:v>7.1999999999999998E-3</c:v>
                </c:pt>
                <c:pt idx="10">
                  <c:v>8.8000000000000005E-3</c:v>
                </c:pt>
                <c:pt idx="11">
                  <c:v>6.8999999999999999E-3</c:v>
                </c:pt>
                <c:pt idx="12">
                  <c:v>7.4000000000000003E-3</c:v>
                </c:pt>
                <c:pt idx="13">
                  <c:v>6.1999999999999998E-3</c:v>
                </c:pt>
                <c:pt idx="14">
                  <c:v>6.1000000000000004E-3</c:v>
                </c:pt>
                <c:pt idx="15">
                  <c:v>6.8999999999999999E-3</c:v>
                </c:pt>
                <c:pt idx="16">
                  <c:v>5.5999999999999999E-3</c:v>
                </c:pt>
                <c:pt idx="17">
                  <c:v>5.8999999999999999E-3</c:v>
                </c:pt>
                <c:pt idx="18">
                  <c:v>6.3E-3</c:v>
                </c:pt>
                <c:pt idx="19">
                  <c:v>6.0000000000000001E-3</c:v>
                </c:pt>
                <c:pt idx="20">
                  <c:v>5.1000000000000004E-3</c:v>
                </c:pt>
                <c:pt idx="21">
                  <c:v>5.8999999999999999E-3</c:v>
                </c:pt>
                <c:pt idx="22">
                  <c:v>5.1999999999999998E-3</c:v>
                </c:pt>
                <c:pt idx="23">
                  <c:v>1.1299999999999999E-2</c:v>
                </c:pt>
                <c:pt idx="24">
                  <c:v>6.7999999999999996E-3</c:v>
                </c:pt>
                <c:pt idx="25">
                  <c:v>5.7999999999999996E-3</c:v>
                </c:pt>
                <c:pt idx="26">
                  <c:v>7.1999999999999998E-3</c:v>
                </c:pt>
                <c:pt idx="27">
                  <c:v>5.0000000000000001E-3</c:v>
                </c:pt>
                <c:pt idx="28">
                  <c:v>6.1000000000000004E-3</c:v>
                </c:pt>
                <c:pt idx="29">
                  <c:v>4.7999999999999996E-3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E9-4CD5-8AF7-1AC2DC069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02671"/>
        <c:axId val="17025857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Epoch_Train_Val_Loss!$B$5</c15:sqref>
                        </c15:formulaRef>
                      </c:ext>
                    </c:extLst>
                    <c:strCache>
                      <c:ptCount val="1"/>
                      <c:pt idx="0">
                        <c:v>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Epoch_Train_Val_Loss!$B$6:$B$35</c15:sqref>
                        </c15:formulaRef>
                      </c:ext>
                    </c:extLst>
                    <c:numCache>
                      <c:formatCode>0.000</c:formatCode>
                      <c:ptCount val="30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80</c:v>
                      </c:pt>
                      <c:pt idx="9">
                        <c:v>90</c:v>
                      </c:pt>
                      <c:pt idx="10">
                        <c:v>100</c:v>
                      </c:pt>
                      <c:pt idx="11">
                        <c:v>120</c:v>
                      </c:pt>
                      <c:pt idx="12">
                        <c:v>130</c:v>
                      </c:pt>
                      <c:pt idx="13">
                        <c:v>140</c:v>
                      </c:pt>
                      <c:pt idx="14">
                        <c:v>150</c:v>
                      </c:pt>
                      <c:pt idx="15">
                        <c:v>160</c:v>
                      </c:pt>
                      <c:pt idx="16">
                        <c:v>170</c:v>
                      </c:pt>
                      <c:pt idx="17">
                        <c:v>180</c:v>
                      </c:pt>
                      <c:pt idx="18">
                        <c:v>190</c:v>
                      </c:pt>
                      <c:pt idx="19">
                        <c:v>200</c:v>
                      </c:pt>
                      <c:pt idx="20">
                        <c:v>210</c:v>
                      </c:pt>
                      <c:pt idx="21">
                        <c:v>220</c:v>
                      </c:pt>
                      <c:pt idx="22">
                        <c:v>230</c:v>
                      </c:pt>
                      <c:pt idx="23">
                        <c:v>240</c:v>
                      </c:pt>
                      <c:pt idx="24">
                        <c:v>250</c:v>
                      </c:pt>
                      <c:pt idx="25">
                        <c:v>260</c:v>
                      </c:pt>
                      <c:pt idx="26">
                        <c:v>270</c:v>
                      </c:pt>
                      <c:pt idx="27">
                        <c:v>280</c:v>
                      </c:pt>
                      <c:pt idx="28">
                        <c:v>290</c:v>
                      </c:pt>
                      <c:pt idx="29">
                        <c:v>300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Epoch_Train_Val_Loss!$B$6:$B$35</c15:sqref>
                        </c15:formulaRef>
                      </c:ext>
                    </c:extLst>
                    <c:numCache>
                      <c:formatCode>0.000</c:formatCode>
                      <c:ptCount val="30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80</c:v>
                      </c:pt>
                      <c:pt idx="9">
                        <c:v>90</c:v>
                      </c:pt>
                      <c:pt idx="10">
                        <c:v>100</c:v>
                      </c:pt>
                      <c:pt idx="11">
                        <c:v>120</c:v>
                      </c:pt>
                      <c:pt idx="12">
                        <c:v>130</c:v>
                      </c:pt>
                      <c:pt idx="13">
                        <c:v>140</c:v>
                      </c:pt>
                      <c:pt idx="14">
                        <c:v>150</c:v>
                      </c:pt>
                      <c:pt idx="15">
                        <c:v>160</c:v>
                      </c:pt>
                      <c:pt idx="16">
                        <c:v>170</c:v>
                      </c:pt>
                      <c:pt idx="17">
                        <c:v>180</c:v>
                      </c:pt>
                      <c:pt idx="18">
                        <c:v>190</c:v>
                      </c:pt>
                      <c:pt idx="19">
                        <c:v>200</c:v>
                      </c:pt>
                      <c:pt idx="20">
                        <c:v>210</c:v>
                      </c:pt>
                      <c:pt idx="21">
                        <c:v>220</c:v>
                      </c:pt>
                      <c:pt idx="22">
                        <c:v>230</c:v>
                      </c:pt>
                      <c:pt idx="23">
                        <c:v>240</c:v>
                      </c:pt>
                      <c:pt idx="24">
                        <c:v>250</c:v>
                      </c:pt>
                      <c:pt idx="25">
                        <c:v>260</c:v>
                      </c:pt>
                      <c:pt idx="26">
                        <c:v>270</c:v>
                      </c:pt>
                      <c:pt idx="27">
                        <c:v>280</c:v>
                      </c:pt>
                      <c:pt idx="28">
                        <c:v>290</c:v>
                      </c:pt>
                      <c:pt idx="29">
                        <c:v>300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AE9-4CD5-8AF7-1AC2DC06922D}"/>
                  </c:ext>
                </c:extLst>
              </c15:ser>
            </c15:filteredLineSeries>
          </c:ext>
        </c:extLst>
      </c:lineChart>
      <c:catAx>
        <c:axId val="7410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585711"/>
        <c:crosses val="autoZero"/>
        <c:auto val="1"/>
        <c:lblAlgn val="ctr"/>
        <c:lblOffset val="100"/>
        <c:noMultiLvlLbl val="0"/>
      </c:catAx>
      <c:valAx>
        <c:axId val="170258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0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Mean episode altitude PID Expert vs BC Policy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'Mean Episode Altitude'!$C$5</c:f>
              <c:strCache>
                <c:ptCount val="1"/>
                <c:pt idx="0">
                  <c:v>BL alt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'Mean Episode Altitude'!$B$6:$B$15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'Mean Episode Altitude'!$C$6:$C$15</c:f>
              <c:numCache>
                <c:formatCode>General</c:formatCode>
                <c:ptCount val="10"/>
                <c:pt idx="0">
                  <c:v>29.98</c:v>
                </c:pt>
                <c:pt idx="1">
                  <c:v>29.972000000000001</c:v>
                </c:pt>
                <c:pt idx="2">
                  <c:v>29.971</c:v>
                </c:pt>
                <c:pt idx="3">
                  <c:v>29.97</c:v>
                </c:pt>
                <c:pt idx="4">
                  <c:v>29.971</c:v>
                </c:pt>
                <c:pt idx="5">
                  <c:v>29.97</c:v>
                </c:pt>
                <c:pt idx="6">
                  <c:v>29.971</c:v>
                </c:pt>
                <c:pt idx="7">
                  <c:v>29.968</c:v>
                </c:pt>
                <c:pt idx="8">
                  <c:v>29.97</c:v>
                </c:pt>
                <c:pt idx="9">
                  <c:v>29.969000000000001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0-4E54-BEE4-9ED7A06CC443}"/>
            </c:ext>
          </c:extLst>
        </c:ser>
        <c:ser>
          <c:idx val="2"/>
          <c:order val="1"/>
          <c:tx>
            <c:strRef>
              <c:f>'Mean Episode Altitude'!$F$5</c:f>
              <c:strCache>
                <c:ptCount val="1"/>
                <c:pt idx="0">
                  <c:v>BC Alt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'Mean Episode Altitude'!$B$6:$B$15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'Mean Episode Altitude'!$F$6:$F$15</c:f>
              <c:numCache>
                <c:formatCode>General</c:formatCode>
                <c:ptCount val="10"/>
                <c:pt idx="0">
                  <c:v>30.035</c:v>
                </c:pt>
                <c:pt idx="1">
                  <c:v>30.023</c:v>
                </c:pt>
                <c:pt idx="2">
                  <c:v>30.027999999999999</c:v>
                </c:pt>
                <c:pt idx="3">
                  <c:v>30.041</c:v>
                </c:pt>
                <c:pt idx="4">
                  <c:v>30.03</c:v>
                </c:pt>
                <c:pt idx="5">
                  <c:v>30.053999999999998</c:v>
                </c:pt>
                <c:pt idx="6">
                  <c:v>29.998999999999999</c:v>
                </c:pt>
                <c:pt idx="7">
                  <c:v>30.026</c:v>
                </c:pt>
                <c:pt idx="8">
                  <c:v>30.038</c:v>
                </c:pt>
                <c:pt idx="9">
                  <c:v>30.030999999999999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0-4E54-BEE4-9ED7A06CC4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86711615"/>
        <c:axId val="396218383"/>
      </c:barChart>
      <c:catAx>
        <c:axId val="886711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Episode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18383"/>
        <c:crosses val="autoZero"/>
        <c:auto val="1"/>
        <c:lblAlgn val="ctr"/>
        <c:lblOffset val="100"/>
        <c:noMultiLvlLbl val="0"/>
      </c:catAx>
      <c:valAx>
        <c:axId val="39621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Altitude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1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RMSE Comparison for</a:t>
            </a:r>
            <a:r>
              <a:rPr lang="en-MY" b="1" baseline="0"/>
              <a:t> 30m target per episode</a:t>
            </a:r>
            <a:endParaRPr lang="en-MY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'Root Mean Squared Error'!$E$5</c:f>
              <c:strCache>
                <c:ptCount val="1"/>
                <c:pt idx="0">
                  <c:v>BL RMSE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'Root Mean Squared Error'!$B$6:$B$15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'Root Mean Squared Error'!$E$6:$E$15</c:f>
              <c:numCache>
                <c:formatCode>General</c:formatCode>
                <c:ptCount val="10"/>
                <c:pt idx="0">
                  <c:v>0.30430000000000001</c:v>
                </c:pt>
                <c:pt idx="1">
                  <c:v>0.3876</c:v>
                </c:pt>
                <c:pt idx="2">
                  <c:v>0.38240000000000002</c:v>
                </c:pt>
                <c:pt idx="3">
                  <c:v>0.38900000000000001</c:v>
                </c:pt>
                <c:pt idx="4">
                  <c:v>0.37740000000000001</c:v>
                </c:pt>
                <c:pt idx="5">
                  <c:v>0.40510000000000002</c:v>
                </c:pt>
                <c:pt idx="6">
                  <c:v>0.39360000000000001</c:v>
                </c:pt>
                <c:pt idx="7">
                  <c:v>0.39879999999999999</c:v>
                </c:pt>
                <c:pt idx="8">
                  <c:v>0.38579999999999998</c:v>
                </c:pt>
                <c:pt idx="9">
                  <c:v>0.40460000000000002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4-4EB1-8322-0B36EC0273CE}"/>
            </c:ext>
          </c:extLst>
        </c:ser>
        <c:ser>
          <c:idx val="2"/>
          <c:order val="2"/>
          <c:tx>
            <c:strRef>
              <c:f>'Root Mean Squared Error'!$H$5</c:f>
              <c:strCache>
                <c:ptCount val="1"/>
                <c:pt idx="0">
                  <c:v>BC RMSE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'Root Mean Squared Error'!$B$6:$B$15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'Root Mean Squared Error'!$H$6:$H$15</c:f>
              <c:numCache>
                <c:formatCode>General</c:formatCode>
                <c:ptCount val="10"/>
                <c:pt idx="0">
                  <c:v>0.44040000000000001</c:v>
                </c:pt>
                <c:pt idx="1">
                  <c:v>0.4078</c:v>
                </c:pt>
                <c:pt idx="2">
                  <c:v>0.4118</c:v>
                </c:pt>
                <c:pt idx="3">
                  <c:v>0.42620000000000002</c:v>
                </c:pt>
                <c:pt idx="4">
                  <c:v>0.41810000000000003</c:v>
                </c:pt>
                <c:pt idx="5">
                  <c:v>0.42680000000000001</c:v>
                </c:pt>
                <c:pt idx="6">
                  <c:v>0.4168</c:v>
                </c:pt>
                <c:pt idx="7">
                  <c:v>0.40129999999999999</c:v>
                </c:pt>
                <c:pt idx="8">
                  <c:v>0.3931</c:v>
                </c:pt>
                <c:pt idx="9">
                  <c:v>0.39579999999999999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E4-4EB1-8322-0B36EC027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702335"/>
        <c:axId val="3961247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'Root Mean Squared Error'!$B$5</c15:sqref>
                        </c15:formulaRef>
                      </c:ext>
                    </c:extLst>
                    <c:strCache>
                      <c:ptCount val="1"/>
                      <c:pt idx="0">
                        <c:v>Ep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'Root Mean Squared Error'!$B$6:$B$15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'Root Mean Squared Error'!$B$6:$B$15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4E4-4EB1-8322-0B36EC0273CE}"/>
                  </c:ext>
                </c:extLst>
              </c15:ser>
            </c15:filteredBarSeries>
          </c:ext>
        </c:extLst>
      </c:barChart>
      <c:catAx>
        <c:axId val="886702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Episode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24783"/>
        <c:crosses val="autoZero"/>
        <c:auto val="1"/>
        <c:lblAlgn val="ctr"/>
        <c:lblOffset val="100"/>
        <c:noMultiLvlLbl val="0"/>
      </c:catAx>
      <c:valAx>
        <c:axId val="39612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0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Altitude Standard Deviation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'Altitude Standard Deviation'!$D$5</c:f>
              <c:strCache>
                <c:ptCount val="1"/>
                <c:pt idx="0">
                  <c:v>BL std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'Altitude Standard Deviation'!$D$6:$D$15</c:f>
              <c:numCache>
                <c:formatCode>General</c:formatCode>
                <c:ptCount val="10"/>
                <c:pt idx="0">
                  <c:v>0.30359999999999998</c:v>
                </c:pt>
                <c:pt idx="1">
                  <c:v>0.3866</c:v>
                </c:pt>
                <c:pt idx="2">
                  <c:v>0.38129999999999997</c:v>
                </c:pt>
                <c:pt idx="3">
                  <c:v>0.38790000000000002</c:v>
                </c:pt>
                <c:pt idx="4">
                  <c:v>0.37630000000000002</c:v>
                </c:pt>
                <c:pt idx="5">
                  <c:v>0.40410000000000001</c:v>
                </c:pt>
                <c:pt idx="6">
                  <c:v>0.39250000000000002</c:v>
                </c:pt>
                <c:pt idx="7">
                  <c:v>0.39750000000000002</c:v>
                </c:pt>
                <c:pt idx="8">
                  <c:v>0.3846</c:v>
                </c:pt>
                <c:pt idx="9">
                  <c:v>0.40329999999999999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03-42F2-AC58-A79CA8732E1A}"/>
            </c:ext>
          </c:extLst>
        </c:ser>
        <c:ser>
          <c:idx val="2"/>
          <c:order val="1"/>
          <c:tx>
            <c:strRef>
              <c:f>'Altitude Standard Deviation'!$G$5</c:f>
              <c:strCache>
                <c:ptCount val="1"/>
                <c:pt idx="0">
                  <c:v>BC Std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'Altitude Standard Deviation'!$G$6:$G$15</c:f>
              <c:numCache>
                <c:formatCode>General</c:formatCode>
                <c:ptCount val="10"/>
                <c:pt idx="0">
                  <c:v>0.439</c:v>
                </c:pt>
                <c:pt idx="1">
                  <c:v>0.40720000000000001</c:v>
                </c:pt>
                <c:pt idx="2">
                  <c:v>0.4108</c:v>
                </c:pt>
                <c:pt idx="3">
                  <c:v>0.42430000000000001</c:v>
                </c:pt>
                <c:pt idx="4">
                  <c:v>0.41710000000000003</c:v>
                </c:pt>
                <c:pt idx="5">
                  <c:v>0.4234</c:v>
                </c:pt>
                <c:pt idx="6">
                  <c:v>0.4168</c:v>
                </c:pt>
                <c:pt idx="7">
                  <c:v>0.40050000000000002</c:v>
                </c:pt>
                <c:pt idx="8">
                  <c:v>0.39129999999999998</c:v>
                </c:pt>
                <c:pt idx="9">
                  <c:v>0.39460000000000001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03-42F2-AC58-A79CA8732E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6702335"/>
        <c:axId val="396124783"/>
        <c:extLst/>
      </c:barChart>
      <c:catAx>
        <c:axId val="8867023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24783"/>
        <c:crosses val="autoZero"/>
        <c:auto val="1"/>
        <c:lblAlgn val="ctr"/>
        <c:lblOffset val="100"/>
        <c:noMultiLvlLbl val="0"/>
      </c:catAx>
      <c:valAx>
        <c:axId val="39612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Std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0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Maximum Horizontal Drift Per Episode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'Horizontal Drift'!$H$6:$H$15</c:f>
              <c:numCache>
                <c:formatCode>General</c:formatCode>
                <c:ptCount val="10"/>
                <c:pt idx="0">
                  <c:v>1.4139999999999999</c:v>
                </c:pt>
                <c:pt idx="1">
                  <c:v>1.008</c:v>
                </c:pt>
                <c:pt idx="2">
                  <c:v>1.9470000000000001</c:v>
                </c:pt>
                <c:pt idx="3">
                  <c:v>2.2949999999999999</c:v>
                </c:pt>
                <c:pt idx="4">
                  <c:v>0.92500000000000004</c:v>
                </c:pt>
                <c:pt idx="5">
                  <c:v>2.6850000000000001</c:v>
                </c:pt>
                <c:pt idx="6">
                  <c:v>1.7609999999999999</c:v>
                </c:pt>
                <c:pt idx="7">
                  <c:v>1.796</c:v>
                </c:pt>
                <c:pt idx="8">
                  <c:v>0.78800000000000003</c:v>
                </c:pt>
                <c:pt idx="9">
                  <c:v>0.878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5B0-4A9C-B3CF-FE14F11874A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'Horizontal Drift'!$I$6:$I$15</c:f>
              <c:numCache>
                <c:formatCode>General</c:formatCode>
                <c:ptCount val="10"/>
                <c:pt idx="0">
                  <c:v>1.8720000000000001</c:v>
                </c:pt>
                <c:pt idx="1">
                  <c:v>1.0089999999999999</c:v>
                </c:pt>
                <c:pt idx="2">
                  <c:v>1.946</c:v>
                </c:pt>
                <c:pt idx="3">
                  <c:v>2.2949999999999999</c:v>
                </c:pt>
                <c:pt idx="4">
                  <c:v>0.92600000000000005</c:v>
                </c:pt>
                <c:pt idx="5">
                  <c:v>2.6850000000000001</c:v>
                </c:pt>
                <c:pt idx="6">
                  <c:v>1.7589999999999999</c:v>
                </c:pt>
                <c:pt idx="7">
                  <c:v>1.796</c:v>
                </c:pt>
                <c:pt idx="8">
                  <c:v>0.78800000000000003</c:v>
                </c:pt>
                <c:pt idx="9">
                  <c:v>0.878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5B0-4A9C-B3CF-FE14F1187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877311"/>
        <c:axId val="3962121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'Horizontal Drift'!$B$6:$B$15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95B0-4A9C-B3CF-FE14F11874A4}"/>
                  </c:ext>
                </c:extLst>
              </c15:ser>
            </c15:filteredBarSeries>
          </c:ext>
        </c:extLst>
      </c:barChart>
      <c:catAx>
        <c:axId val="74687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12143"/>
        <c:crosses val="autoZero"/>
        <c:auto val="1"/>
        <c:lblAlgn val="ctr"/>
        <c:lblOffset val="100"/>
        <c:noMultiLvlLbl val="0"/>
      </c:catAx>
      <c:valAx>
        <c:axId val="39621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7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Maximum Horizontal Drift Per Episode Top 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'Horizontal Drift'!$H$6:$H$15</c:f>
              <c:numCache>
                <c:formatCode>General</c:formatCode>
                <c:ptCount val="10"/>
                <c:pt idx="0">
                  <c:v>1.4139999999999999</c:v>
                </c:pt>
                <c:pt idx="1">
                  <c:v>1.008</c:v>
                </c:pt>
                <c:pt idx="2">
                  <c:v>1.9470000000000001</c:v>
                </c:pt>
                <c:pt idx="3">
                  <c:v>2.2949999999999999</c:v>
                </c:pt>
                <c:pt idx="4">
                  <c:v>0.92500000000000004</c:v>
                </c:pt>
                <c:pt idx="5">
                  <c:v>2.6850000000000001</c:v>
                </c:pt>
                <c:pt idx="6">
                  <c:v>1.7609999999999999</c:v>
                </c:pt>
                <c:pt idx="7">
                  <c:v>1.796</c:v>
                </c:pt>
                <c:pt idx="8">
                  <c:v>0.78800000000000003</c:v>
                </c:pt>
                <c:pt idx="9">
                  <c:v>0.878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CFD-4F7C-936B-C4BBDDB63C68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'Horizontal Drift'!$I$6:$I$15</c:f>
              <c:numCache>
                <c:formatCode>General</c:formatCode>
                <c:ptCount val="10"/>
                <c:pt idx="0">
                  <c:v>1.8720000000000001</c:v>
                </c:pt>
                <c:pt idx="1">
                  <c:v>1.0089999999999999</c:v>
                </c:pt>
                <c:pt idx="2">
                  <c:v>1.946</c:v>
                </c:pt>
                <c:pt idx="3">
                  <c:v>2.2949999999999999</c:v>
                </c:pt>
                <c:pt idx="4">
                  <c:v>0.92600000000000005</c:v>
                </c:pt>
                <c:pt idx="5">
                  <c:v>2.6850000000000001</c:v>
                </c:pt>
                <c:pt idx="6">
                  <c:v>1.7589999999999999</c:v>
                </c:pt>
                <c:pt idx="7">
                  <c:v>1.796</c:v>
                </c:pt>
                <c:pt idx="8">
                  <c:v>0.78800000000000003</c:v>
                </c:pt>
                <c:pt idx="9">
                  <c:v>0.878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6CFD-4F7C-936B-C4BBDDB63C68}"/>
            </c:ext>
          </c:extLst>
        </c:ser>
        <c:ser>
          <c:idx val="0"/>
          <c:order val="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6CFD-4F7C-936B-C4BBDDB63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179663"/>
        <c:axId val="396212623"/>
      </c:radarChart>
      <c:catAx>
        <c:axId val="74817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12623"/>
        <c:crosses val="autoZero"/>
        <c:auto val="1"/>
        <c:lblAlgn val="ctr"/>
        <c:lblOffset val="100"/>
        <c:noMultiLvlLbl val="0"/>
      </c:catAx>
      <c:valAx>
        <c:axId val="39621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7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</xdr:colOff>
      <xdr:row>3</xdr:row>
      <xdr:rowOff>29135</xdr:rowOff>
    </xdr:from>
    <xdr:to>
      <xdr:col>14</xdr:col>
      <xdr:colOff>313764</xdr:colOff>
      <xdr:row>23</xdr:row>
      <xdr:rowOff>112059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354B0C-9EB1-D525-A1A6-9E57E9260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595311</xdr:colOff>
      <xdr:row>2</xdr:row>
      <xdr:rowOff>142875</xdr:rowOff>
    </xdr:from>
    <xdr:to>
      <xdr:col>17</xdr:col>
      <xdr:colOff>104774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404FA-0A94-A90F-B041-BBB390522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583746</xdr:colOff>
      <xdr:row>10</xdr:row>
      <xdr:rowOff>11498</xdr:rowOff>
    </xdr:from>
    <xdr:to>
      <xdr:col>17</xdr:col>
      <xdr:colOff>174171</xdr:colOff>
      <xdr:row>10</xdr:row>
      <xdr:rowOff>24494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EF42070-2D36-467D-9EB9-2F4798306196}"/>
            </a:ext>
          </a:extLst>
        </xdr:cNvPr>
        <xdr:cNvCxnSpPr/>
      </xdr:nvCxnSpPr>
      <xdr:spPr>
        <a:xfrm>
          <a:off x="6462032" y="1862069"/>
          <a:ext cx="4815568" cy="12996"/>
        </a:xfrm>
        <a:prstGeom prst="line">
          <a:avLst/>
        </a:prstGeom>
        <a:ln w="34925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122207</xdr:colOff>
      <xdr:row>5</xdr:row>
      <xdr:rowOff>81643</xdr:rowOff>
    </xdr:from>
    <xdr:to>
      <xdr:col>17</xdr:col>
      <xdr:colOff>228176</xdr:colOff>
      <xdr:row>7</xdr:row>
      <xdr:rowOff>46693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CE91077-0ECD-4F3B-9E65-2F96FE951214}"/>
            </a:ext>
          </a:extLst>
        </xdr:cNvPr>
        <xdr:cNvSpPr/>
      </xdr:nvSpPr>
      <xdr:spPr>
        <a:xfrm>
          <a:off x="9919350" y="1006929"/>
          <a:ext cx="1412255" cy="3351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MY" sz="1100" b="1">
              <a:solidFill>
                <a:srgbClr val="FF0000"/>
              </a:solidFill>
            </a:rPr>
            <a:t>target 30.0m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585786</xdr:colOff>
      <xdr:row>10</xdr:row>
      <xdr:rowOff>161925</xdr:rowOff>
    </xdr:from>
    <xdr:to>
      <xdr:col>15</xdr:col>
      <xdr:colOff>95250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111CD-8F13-1DD9-8DDE-17EEE2141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3</xdr:row>
      <xdr:rowOff>0</xdr:rowOff>
    </xdr:from>
    <xdr:to>
      <xdr:col>18</xdr:col>
      <xdr:colOff>590550</xdr:colOff>
      <xdr:row>22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D319BC-61EC-4835-B46A-648603168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3</xdr:row>
      <xdr:rowOff>0</xdr:rowOff>
    </xdr:from>
    <xdr:to>
      <xdr:col>17</xdr:col>
      <xdr:colOff>266700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B6BF7-AEB3-1BD3-7D49-72E2D204B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200025</xdr:colOff>
      <xdr:row>3</xdr:row>
      <xdr:rowOff>123825</xdr:rowOff>
    </xdr:from>
    <xdr:to>
      <xdr:col>25</xdr:col>
      <xdr:colOff>504825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0523DE-FEA0-FD9B-1F53-9B2465925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6E445-4B14-4E15-8EA2-F83765E45F73}" name="Table53329" displayName="Table53329" ref="B4:E35" headerRowCount="0" totalsRowShown="0" headerRowDxfId="50" dataDxfId="49">
  <tableColumns count="4">
    <tableColumn id="1" xr3:uid="{59EA37AB-54C0-47D3-A7DC-F81A84623744}" name="Column1" dataDxfId="48"/>
    <tableColumn id="2" xr3:uid="{DE7C0241-CD5F-4BEB-8A83-0E7C8082D87D}" name="Column2" headerRowDxfId="47" dataDxfId="46"/>
    <tableColumn id="3" xr3:uid="{51F77A48-59F7-4585-A29D-424996B96D16}" name="Column3" headerRowDxfId="45" dataDxfId="44"/>
    <tableColumn id="4" xr3:uid="{FDCBBAF1-F6CB-4AC8-9DD6-A2A82B315192}" name="Column4" dataDxfId="4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0B00D3-11CF-4E17-AD1B-D7CAAD4B3F20}" name="Table533293" displayName="Table533293" ref="B4:H15" headerRowCount="0" totalsRowShown="0" dataDxfId="42">
  <tableColumns count="7">
    <tableColumn id="1" xr3:uid="{BD2892B4-2432-4DAF-9E80-6BA409BE8EF9}" name="Column1" dataDxfId="41"/>
    <tableColumn id="2" xr3:uid="{E0CE5D7B-4E54-4B3D-BD3E-E38937CC6B98}" name="Column2" headerRowDxfId="40" dataDxfId="39"/>
    <tableColumn id="3" xr3:uid="{E400B658-A0F9-43C6-ABCA-549F17CA5A73}" name="Column3" headerRowDxfId="38" dataDxfId="37"/>
    <tableColumn id="4" xr3:uid="{DC5C9454-F038-452C-B954-BE7D3E52F441}" name="Column4" dataDxfId="36"/>
    <tableColumn id="5" xr3:uid="{047DA92B-AC26-4F6E-97B9-A9E7CFD9F403}" name="Column5" dataDxfId="35"/>
    <tableColumn id="6" xr3:uid="{77A951E7-39DD-4F7A-891E-5C1E2E996C4C}" name="Column6" dataDxfId="34"/>
    <tableColumn id="7" xr3:uid="{0412E644-47C2-46AA-ADCA-59F2FA186377}" name="Column7" dataDxfId="3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3C46A7-2338-412F-977B-9E2CA8821C7A}" name="Table5332934" displayName="Table5332934" ref="B4:H15" headerRowCount="0" totalsRowShown="0" dataDxfId="9">
  <tableColumns count="7">
    <tableColumn id="1" xr3:uid="{3BCF082D-7999-4BD4-B150-3DB30330BAD3}" name="Column1" dataDxfId="8"/>
    <tableColumn id="2" xr3:uid="{F0B97C78-C792-41B7-ACA4-3E72BA37CC75}" name="Column2" headerRowDxfId="7" dataDxfId="6"/>
    <tableColumn id="3" xr3:uid="{31BB0DF3-0051-4172-9DCD-E4EF37D9ED48}" name="Column3" headerRowDxfId="5" dataDxfId="4"/>
    <tableColumn id="4" xr3:uid="{23098784-1764-4522-BD33-B91100C86F0A}" name="Column4" dataDxfId="3"/>
    <tableColumn id="5" xr3:uid="{C93184DD-34D8-4913-877F-A4DC6206707C}" name="Column5" dataDxfId="2"/>
    <tableColumn id="6" xr3:uid="{BD804E35-FE32-405B-9F94-4AB302C5BF88}" name="Column6" dataDxfId="1"/>
    <tableColumn id="7" xr3:uid="{5A0E2B70-EB5D-42C8-9A8B-74AAA56C1CF3}" name="Column7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6A3226-AED8-4308-A1D9-4457EB0AC136}" name="Table417" displayName="Table417" ref="J4:K10" totalsRowShown="0" headerRowDxfId="32">
  <autoFilter ref="J4:K10" xr:uid="{AD6A3226-AED8-4308-A1D9-4457EB0AC136}"/>
  <tableColumns count="2">
    <tableColumn id="1" xr3:uid="{8A01B032-E932-4830-9212-DF7C3A9427A9}" name="Efficiency Calculation"/>
    <tableColumn id="2" xr3:uid="{A09EA6D7-9AE0-4DB0-89BF-794B35629844}" name="Value" dataDxfId="3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E905CA-CA82-4721-8CBE-017662B4CE83}" name="Table53329345" displayName="Table53329345" ref="B4:H15" headerRowCount="0" totalsRowShown="0" dataDxfId="30">
  <tableColumns count="7">
    <tableColumn id="1" xr3:uid="{2D5BB85E-CB0B-450F-9E52-DE459D591EB5}" name="Column1" dataDxfId="29"/>
    <tableColumn id="2" xr3:uid="{82ED1630-3E28-4FA5-B9A4-266957614B2D}" name="Column2" headerRowDxfId="28" dataDxfId="27"/>
    <tableColumn id="3" xr3:uid="{3A3DF17A-FFB5-4B8A-9D1C-238D6C38A286}" name="Column3" headerRowDxfId="26" dataDxfId="25"/>
    <tableColumn id="4" xr3:uid="{92B3B93C-5827-4A6E-9A95-58736BDE4DD3}" name="Column4" dataDxfId="24"/>
    <tableColumn id="5" xr3:uid="{93E4E5E5-1760-4F7F-97E9-F0A48883EF4A}" name="Column5" dataDxfId="23"/>
    <tableColumn id="6" xr3:uid="{C888BEA1-5233-4E4F-87A2-AD2FEAFD83C3}" name="Column6" dataDxfId="22"/>
    <tableColumn id="7" xr3:uid="{14BDCE0B-0989-4496-AFA4-7FD78A7DFB44}" name="Column7" dataDxfId="2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F79706-8B6C-4CE8-93DF-9A33155FEE36}" name="Table533293457" displayName="Table533293457" ref="B4:I15" headerRowCount="0" totalsRowShown="0" dataDxfId="20">
  <tableColumns count="8">
    <tableColumn id="1" xr3:uid="{523BFDFB-213F-444E-8607-B094697C1C94}" name="Column1" dataDxfId="19"/>
    <tableColumn id="2" xr3:uid="{7067D6EA-A24D-4F88-A5F4-080C21BEF48C}" name="Column2" headerRowDxfId="18" dataDxfId="17"/>
    <tableColumn id="3" xr3:uid="{C534E0B8-8C9F-4941-9E66-BC140D094EBC}" name="Column3" headerRowDxfId="16" dataDxfId="15"/>
    <tableColumn id="4" xr3:uid="{C1A6D716-30D6-46AB-99A5-78AB557B5D8B}" name="Column4" dataDxfId="14"/>
    <tableColumn id="5" xr3:uid="{AF2BAD33-66A9-4001-9CB1-0796A912041D}" name="Column5" dataDxfId="13"/>
    <tableColumn id="6" xr3:uid="{0942D3F4-914A-485E-B254-F016E4E2A40D}" name="Column6" dataDxfId="12"/>
    <tableColumn id="7" xr3:uid="{FFE1234A-86EE-4505-97FD-4A3DAA94B88D}" name="Column7" dataDxfId="11"/>
    <tableColumn id="8" xr3:uid="{A24BF56A-47E4-4135-B162-909415254D11}" name="Column8" dataDxfId="1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4C4575-9421-4FE5-B4CE-4E1690A226F9}" name="Table8" displayName="Table8" ref="B5:E10" totalsRowShown="0" headerRowDxfId="66" dataDxfId="65">
  <autoFilter ref="B5:E10" xr:uid="{6F4C4575-9421-4FE5-B4CE-4E1690A226F9}"/>
  <tableColumns count="4">
    <tableColumn id="1" xr3:uid="{4FB62B4D-D5A9-4F70-A132-069E5E9A5DD9}" name="Metric"/>
    <tableColumn id="2" xr3:uid="{5E2BF2A9-D953-4AEB-9823-1538F4131F6E}" name="PID Expert" dataDxfId="64"/>
    <tableColumn id="3" xr3:uid="{B3474A44-527E-466F-8F9D-934E75C24FDA}" name="BC Policy" dataDxfId="63"/>
    <tableColumn id="4" xr3:uid="{0DB87237-58E0-41DA-AAF5-B00BB243D705}" name="Gap" dataDxfId="6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90C336-EA44-486C-B99B-8C27213AB164}" name="Table53329345710" displayName="Table53329345710" ref="G5:N17" headerRowCount="0" totalsRowShown="0" dataDxfId="61">
  <tableColumns count="8">
    <tableColumn id="1" xr3:uid="{49E39412-D90D-4840-8892-25CB500AD108}" name="Column1" dataDxfId="60"/>
    <tableColumn id="2" xr3:uid="{A4E84E00-33CE-401E-B76E-B1D61B9E3F27}" name="Column2" headerRowDxfId="59" dataDxfId="58"/>
    <tableColumn id="3" xr3:uid="{A5630EFF-D010-4B20-9038-D42F2C1B8EAF}" name="Column3" headerRowDxfId="57" dataDxfId="56"/>
    <tableColumn id="4" xr3:uid="{ACB17587-26D6-4BF2-9FED-BC273D513EE0}" name="Column4" dataDxfId="55"/>
    <tableColumn id="5" xr3:uid="{E97873E4-7A30-48BB-8336-0AF957B89170}" name="Column5" dataDxfId="54"/>
    <tableColumn id="6" xr3:uid="{10CF7B1A-D43A-4C04-A299-1CA957319150}" name="Column6" dataDxfId="53"/>
    <tableColumn id="7" xr3:uid="{B2F07057-0C7A-49C5-A85E-BAD52A88F28C}" name="Column7" dataDxfId="52"/>
    <tableColumn id="8" xr3:uid="{69627931-22EC-46BC-8F21-445399985B92}" name="Column8" dataDxfId="5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9D43-9F35-4105-BA05-535CA9EF5736}">
  <dimension ref="B1:E35"/>
  <sheetViews>
    <sheetView zoomScale="85" zoomScaleNormal="85" workbookViewId="0">
      <selection activeCell="D9" sqref="D9"/>
    </sheetView>
  </sheetViews>
  <sheetFormatPr defaultRowHeight="14.6" x14ac:dyDescent="0.4"/>
  <cols>
    <col min="2" max="2" width="9.15234375" style="22"/>
    <col min="3" max="3" width="10.3046875" style="22" customWidth="1"/>
    <col min="4" max="5" width="9.15234375" style="22"/>
  </cols>
  <sheetData>
    <row r="1" spans="2:5" x14ac:dyDescent="0.4">
      <c r="B1" s="23"/>
      <c r="C1" s="23"/>
      <c r="D1" s="23"/>
      <c r="E1" s="23"/>
    </row>
    <row r="2" spans="2:5" x14ac:dyDescent="0.4">
      <c r="B2" s="24" t="s">
        <v>0</v>
      </c>
      <c r="C2" s="23"/>
      <c r="D2" s="23"/>
      <c r="E2" s="23"/>
    </row>
    <row r="3" spans="2:5" x14ac:dyDescent="0.4">
      <c r="B3" s="23"/>
      <c r="C3" s="23"/>
      <c r="D3" s="23"/>
      <c r="E3" s="23"/>
    </row>
    <row r="4" spans="2:5" x14ac:dyDescent="0.4">
      <c r="B4" s="23"/>
      <c r="C4" s="25" t="s">
        <v>3</v>
      </c>
      <c r="D4" s="25"/>
      <c r="E4" s="23"/>
    </row>
    <row r="5" spans="2:5" x14ac:dyDescent="0.4">
      <c r="B5" s="25" t="s">
        <v>1</v>
      </c>
      <c r="C5" s="25" t="s">
        <v>2</v>
      </c>
      <c r="D5" s="25" t="s">
        <v>4</v>
      </c>
      <c r="E5" s="25" t="s">
        <v>5</v>
      </c>
    </row>
    <row r="6" spans="2:5" x14ac:dyDescent="0.4">
      <c r="B6" s="23">
        <v>1</v>
      </c>
      <c r="C6" s="23">
        <v>0.31430000000000002</v>
      </c>
      <c r="D6" s="26">
        <v>0.2278</v>
      </c>
      <c r="E6" s="23">
        <v>1.8</v>
      </c>
    </row>
    <row r="7" spans="2:5" x14ac:dyDescent="0.4">
      <c r="B7" s="23">
        <v>10</v>
      </c>
      <c r="C7" s="23">
        <v>5.3400000000000003E-2</v>
      </c>
      <c r="D7" s="26">
        <v>5.1799999999999999E-2</v>
      </c>
      <c r="E7" s="23">
        <v>1.9</v>
      </c>
    </row>
    <row r="8" spans="2:5" x14ac:dyDescent="0.4">
      <c r="B8" s="23">
        <v>20</v>
      </c>
      <c r="C8" s="23">
        <v>2.7799999999999998E-2</v>
      </c>
      <c r="D8" s="26">
        <v>3.5200000000000002E-2</v>
      </c>
      <c r="E8" s="23">
        <v>1.7</v>
      </c>
    </row>
    <row r="9" spans="2:5" x14ac:dyDescent="0.4">
      <c r="B9" s="23">
        <v>30</v>
      </c>
      <c r="C9" s="23">
        <v>1.9099999999999999E-2</v>
      </c>
      <c r="D9" s="26">
        <v>1.5100000000000001E-2</v>
      </c>
      <c r="E9" s="23">
        <v>1.9</v>
      </c>
    </row>
    <row r="10" spans="2:5" x14ac:dyDescent="0.4">
      <c r="B10" s="23">
        <v>40</v>
      </c>
      <c r="C10" s="23">
        <v>1.2999999999999999E-2</v>
      </c>
      <c r="D10" s="26">
        <v>1.0699999999999999E-2</v>
      </c>
      <c r="E10" s="23">
        <v>1.6</v>
      </c>
    </row>
    <row r="11" spans="2:5" x14ac:dyDescent="0.4">
      <c r="B11" s="23">
        <v>50</v>
      </c>
      <c r="C11" s="23">
        <v>1.14E-2</v>
      </c>
      <c r="D11" s="26">
        <v>1.84E-2</v>
      </c>
      <c r="E11" s="23">
        <v>1.6</v>
      </c>
    </row>
    <row r="12" spans="2:5" x14ac:dyDescent="0.4">
      <c r="B12" s="23">
        <v>60</v>
      </c>
      <c r="C12" s="23">
        <v>1.18E-2</v>
      </c>
      <c r="D12" s="26">
        <v>8.8999999999999999E-3</v>
      </c>
      <c r="E12" s="23">
        <v>1.8</v>
      </c>
    </row>
    <row r="13" spans="2:5" x14ac:dyDescent="0.4">
      <c r="B13" s="23">
        <v>70</v>
      </c>
      <c r="C13" s="23">
        <v>9.1000000000000004E-3</v>
      </c>
      <c r="D13" s="26">
        <v>9.4000000000000004E-3</v>
      </c>
      <c r="E13" s="23">
        <v>1.6</v>
      </c>
    </row>
    <row r="14" spans="2:5" x14ac:dyDescent="0.4">
      <c r="B14" s="23">
        <v>80</v>
      </c>
      <c r="C14" s="23">
        <v>1.0999999999999999E-2</v>
      </c>
      <c r="D14" s="26">
        <v>6.4999999999999997E-3</v>
      </c>
      <c r="E14" s="23">
        <v>1.6</v>
      </c>
    </row>
    <row r="15" spans="2:5" x14ac:dyDescent="0.4">
      <c r="B15" s="23">
        <v>90</v>
      </c>
      <c r="C15" s="23">
        <v>8.3000000000000001E-3</v>
      </c>
      <c r="D15" s="26">
        <v>7.1999999999999998E-3</v>
      </c>
      <c r="E15" s="23">
        <v>1.7</v>
      </c>
    </row>
    <row r="16" spans="2:5" x14ac:dyDescent="0.4">
      <c r="B16" s="23">
        <v>100</v>
      </c>
      <c r="C16" s="23">
        <v>8.5000000000000006E-3</v>
      </c>
      <c r="D16" s="26">
        <v>8.8000000000000005E-3</v>
      </c>
      <c r="E16" s="23">
        <v>1.8</v>
      </c>
    </row>
    <row r="17" spans="2:5" x14ac:dyDescent="0.4">
      <c r="B17" s="25">
        <v>120</v>
      </c>
      <c r="C17" s="23">
        <v>8.6E-3</v>
      </c>
      <c r="D17" s="26">
        <v>6.8999999999999999E-3</v>
      </c>
      <c r="E17" s="23">
        <v>1.5</v>
      </c>
    </row>
    <row r="18" spans="2:5" x14ac:dyDescent="0.4">
      <c r="B18" s="25">
        <v>130</v>
      </c>
      <c r="C18" s="23">
        <v>9.4999999999999998E-3</v>
      </c>
      <c r="D18" s="26">
        <v>7.4000000000000003E-3</v>
      </c>
      <c r="E18" s="23">
        <v>1.8</v>
      </c>
    </row>
    <row r="19" spans="2:5" x14ac:dyDescent="0.4">
      <c r="B19" s="23">
        <v>140</v>
      </c>
      <c r="C19" s="23">
        <v>6.7999999999999996E-3</v>
      </c>
      <c r="D19" s="26">
        <v>6.1999999999999998E-3</v>
      </c>
      <c r="E19" s="23">
        <v>1.6</v>
      </c>
    </row>
    <row r="20" spans="2:5" x14ac:dyDescent="0.4">
      <c r="B20" s="23">
        <v>150</v>
      </c>
      <c r="C20" s="23">
        <v>6.7999999999999996E-3</v>
      </c>
      <c r="D20" s="26">
        <v>6.1000000000000004E-3</v>
      </c>
      <c r="E20" s="23">
        <v>1.7</v>
      </c>
    </row>
    <row r="21" spans="2:5" x14ac:dyDescent="0.4">
      <c r="B21" s="23">
        <v>160</v>
      </c>
      <c r="C21" s="23">
        <v>1.11E-2</v>
      </c>
      <c r="D21" s="26">
        <v>6.8999999999999999E-3</v>
      </c>
      <c r="E21" s="23">
        <v>1.7</v>
      </c>
    </row>
    <row r="22" spans="2:5" x14ac:dyDescent="0.4">
      <c r="B22" s="23">
        <v>170</v>
      </c>
      <c r="C22" s="23">
        <v>6.3E-3</v>
      </c>
      <c r="D22" s="26">
        <v>5.5999999999999999E-3</v>
      </c>
      <c r="E22" s="23">
        <v>1.7</v>
      </c>
    </row>
    <row r="23" spans="2:5" x14ac:dyDescent="0.4">
      <c r="B23" s="23">
        <v>180</v>
      </c>
      <c r="C23" s="23">
        <v>6.7999999999999996E-3</v>
      </c>
      <c r="D23" s="26">
        <v>5.8999999999999999E-3</v>
      </c>
      <c r="E23" s="23">
        <v>1.7</v>
      </c>
    </row>
    <row r="24" spans="2:5" x14ac:dyDescent="0.4">
      <c r="B24" s="23">
        <v>190</v>
      </c>
      <c r="C24" s="23">
        <v>9.2999999999999992E-3</v>
      </c>
      <c r="D24" s="26">
        <v>6.3E-3</v>
      </c>
      <c r="E24" s="23">
        <v>1.8</v>
      </c>
    </row>
    <row r="25" spans="2:5" x14ac:dyDescent="0.4">
      <c r="B25" s="23">
        <v>200</v>
      </c>
      <c r="C25" s="23">
        <v>8.2000000000000007E-3</v>
      </c>
      <c r="D25" s="26">
        <v>6.0000000000000001E-3</v>
      </c>
      <c r="E25" s="23">
        <v>1.6</v>
      </c>
    </row>
    <row r="26" spans="2:5" x14ac:dyDescent="0.4">
      <c r="B26" s="23">
        <v>210</v>
      </c>
      <c r="C26" s="23">
        <v>6.1000000000000004E-3</v>
      </c>
      <c r="D26" s="26">
        <v>5.1000000000000004E-3</v>
      </c>
      <c r="E26" s="23">
        <v>1.7</v>
      </c>
    </row>
    <row r="27" spans="2:5" x14ac:dyDescent="0.4">
      <c r="B27" s="23">
        <v>220</v>
      </c>
      <c r="C27" s="23">
        <v>6.1999999999999998E-3</v>
      </c>
      <c r="D27" s="26">
        <v>5.8999999999999999E-3</v>
      </c>
      <c r="E27" s="23">
        <v>1.9</v>
      </c>
    </row>
    <row r="28" spans="2:5" x14ac:dyDescent="0.4">
      <c r="B28" s="23">
        <v>230</v>
      </c>
      <c r="C28" s="23">
        <v>6.1000000000000004E-3</v>
      </c>
      <c r="D28" s="26">
        <v>5.1999999999999998E-3</v>
      </c>
      <c r="E28" s="23">
        <v>1.9</v>
      </c>
    </row>
    <row r="29" spans="2:5" x14ac:dyDescent="0.4">
      <c r="B29" s="23">
        <v>240</v>
      </c>
      <c r="C29" s="23">
        <v>6.1000000000000004E-3</v>
      </c>
      <c r="D29" s="26">
        <v>1.1299999999999999E-2</v>
      </c>
      <c r="E29" s="23">
        <v>2</v>
      </c>
    </row>
    <row r="30" spans="2:5" x14ac:dyDescent="0.4">
      <c r="B30" s="23">
        <v>250</v>
      </c>
      <c r="C30" s="23">
        <v>7.0000000000000001E-3</v>
      </c>
      <c r="D30" s="26">
        <v>6.7999999999999996E-3</v>
      </c>
      <c r="E30" s="23">
        <v>1.7</v>
      </c>
    </row>
    <row r="31" spans="2:5" x14ac:dyDescent="0.4">
      <c r="B31" s="23">
        <v>260</v>
      </c>
      <c r="C31" s="23">
        <v>6.4999999999999997E-3</v>
      </c>
      <c r="D31" s="26">
        <v>5.7999999999999996E-3</v>
      </c>
      <c r="E31" s="23">
        <v>1.7</v>
      </c>
    </row>
    <row r="32" spans="2:5" x14ac:dyDescent="0.4">
      <c r="B32" s="23">
        <v>270</v>
      </c>
      <c r="C32" s="23">
        <v>5.0000000000000001E-3</v>
      </c>
      <c r="D32" s="26">
        <v>7.1999999999999998E-3</v>
      </c>
      <c r="E32" s="23">
        <v>1.8</v>
      </c>
    </row>
    <row r="33" spans="2:5" x14ac:dyDescent="0.4">
      <c r="B33" s="23">
        <v>280</v>
      </c>
      <c r="C33" s="23">
        <v>5.4000000000000003E-3</v>
      </c>
      <c r="D33" s="26">
        <v>5.0000000000000001E-3</v>
      </c>
      <c r="E33" s="23">
        <v>1.8</v>
      </c>
    </row>
    <row r="34" spans="2:5" x14ac:dyDescent="0.4">
      <c r="B34" s="23">
        <v>290</v>
      </c>
      <c r="C34" s="23">
        <v>5.1000000000000004E-3</v>
      </c>
      <c r="D34" s="26">
        <v>6.1000000000000004E-3</v>
      </c>
      <c r="E34" s="23">
        <v>1.6</v>
      </c>
    </row>
    <row r="35" spans="2:5" x14ac:dyDescent="0.4">
      <c r="B35" s="23">
        <v>300</v>
      </c>
      <c r="C35" s="23">
        <v>5.8999999999999999E-3</v>
      </c>
      <c r="D35" s="26">
        <v>4.7999999999999996E-3</v>
      </c>
      <c r="E35" s="23">
        <v>1.8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zoomScaleNormal="100" workbookViewId="0">
      <selection activeCell="S15" sqref="S15"/>
    </sheetView>
  </sheetViews>
  <sheetFormatPr defaultRowHeight="14.6" x14ac:dyDescent="0.4"/>
  <sheetData>
    <row r="2" spans="2:8" x14ac:dyDescent="0.4">
      <c r="B2" s="3" t="s">
        <v>0</v>
      </c>
    </row>
    <row r="4" spans="2:8" x14ac:dyDescent="0.4">
      <c r="B4" s="8"/>
      <c r="C4" s="8"/>
      <c r="D4" s="8"/>
      <c r="E4" s="9" t="s">
        <v>15</v>
      </c>
      <c r="F4" s="7"/>
      <c r="G4" s="7"/>
      <c r="H4" s="7"/>
    </row>
    <row r="5" spans="2:8" x14ac:dyDescent="0.4">
      <c r="B5" s="5" t="s">
        <v>6</v>
      </c>
      <c r="C5" s="10" t="s">
        <v>7</v>
      </c>
      <c r="D5" s="5" t="s">
        <v>8</v>
      </c>
      <c r="E5" s="5" t="s">
        <v>9</v>
      </c>
      <c r="F5" s="13" t="s">
        <v>10</v>
      </c>
      <c r="G5" s="5" t="s">
        <v>11</v>
      </c>
      <c r="H5" s="5" t="s">
        <v>12</v>
      </c>
    </row>
    <row r="6" spans="2:8" x14ac:dyDescent="0.4">
      <c r="B6" s="4">
        <v>1</v>
      </c>
      <c r="C6" s="11">
        <v>29.98</v>
      </c>
      <c r="D6" s="2">
        <v>0.30359999999999998</v>
      </c>
      <c r="E6">
        <v>0.30430000000000001</v>
      </c>
      <c r="F6" s="14">
        <v>30.035</v>
      </c>
      <c r="G6">
        <v>0.439</v>
      </c>
      <c r="H6">
        <v>0.44040000000000001</v>
      </c>
    </row>
    <row r="7" spans="2:8" x14ac:dyDescent="0.4">
      <c r="B7" s="4">
        <v>2</v>
      </c>
      <c r="C7" s="11">
        <v>29.972000000000001</v>
      </c>
      <c r="D7" s="2">
        <v>0.3866</v>
      </c>
      <c r="E7">
        <v>0.3876</v>
      </c>
      <c r="F7" s="14">
        <v>30.023</v>
      </c>
      <c r="G7">
        <v>0.40720000000000001</v>
      </c>
      <c r="H7">
        <v>0.4078</v>
      </c>
    </row>
    <row r="8" spans="2:8" x14ac:dyDescent="0.4">
      <c r="B8" s="4">
        <v>3</v>
      </c>
      <c r="C8" s="11">
        <v>29.971</v>
      </c>
      <c r="D8" s="2">
        <v>0.38129999999999997</v>
      </c>
      <c r="E8">
        <v>0.38240000000000002</v>
      </c>
      <c r="F8" s="14">
        <v>30.027999999999999</v>
      </c>
      <c r="G8">
        <v>0.4108</v>
      </c>
      <c r="H8">
        <v>0.4118</v>
      </c>
    </row>
    <row r="9" spans="2:8" x14ac:dyDescent="0.4">
      <c r="B9" s="4">
        <v>4</v>
      </c>
      <c r="C9" s="11">
        <v>29.97</v>
      </c>
      <c r="D9" s="2">
        <v>0.38790000000000002</v>
      </c>
      <c r="E9">
        <v>0.38900000000000001</v>
      </c>
      <c r="F9" s="14">
        <v>30.041</v>
      </c>
      <c r="G9">
        <v>0.42430000000000001</v>
      </c>
      <c r="H9">
        <v>0.42620000000000002</v>
      </c>
    </row>
    <row r="10" spans="2:8" x14ac:dyDescent="0.4">
      <c r="B10" s="4">
        <v>5</v>
      </c>
      <c r="C10" s="11">
        <v>29.971</v>
      </c>
      <c r="D10" s="2">
        <v>0.37630000000000002</v>
      </c>
      <c r="E10">
        <v>0.37740000000000001</v>
      </c>
      <c r="F10" s="14">
        <v>30.03</v>
      </c>
      <c r="G10">
        <v>0.41710000000000003</v>
      </c>
      <c r="H10">
        <v>0.41810000000000003</v>
      </c>
    </row>
    <row r="11" spans="2:8" x14ac:dyDescent="0.4">
      <c r="B11" s="4">
        <v>6</v>
      </c>
      <c r="C11" s="11">
        <v>29.97</v>
      </c>
      <c r="D11" s="2">
        <v>0.40410000000000001</v>
      </c>
      <c r="E11">
        <v>0.40510000000000002</v>
      </c>
      <c r="F11" s="14">
        <v>30.053999999999998</v>
      </c>
      <c r="G11">
        <v>0.4234</v>
      </c>
      <c r="H11">
        <v>0.42680000000000001</v>
      </c>
    </row>
    <row r="12" spans="2:8" x14ac:dyDescent="0.4">
      <c r="B12" s="4">
        <v>7</v>
      </c>
      <c r="C12" s="11">
        <v>29.971</v>
      </c>
      <c r="D12" s="2">
        <v>0.39250000000000002</v>
      </c>
      <c r="E12">
        <v>0.39360000000000001</v>
      </c>
      <c r="F12" s="14">
        <v>29.998999999999999</v>
      </c>
      <c r="G12">
        <v>0.4168</v>
      </c>
      <c r="H12">
        <v>0.4168</v>
      </c>
    </row>
    <row r="13" spans="2:8" x14ac:dyDescent="0.4">
      <c r="B13" s="4">
        <v>8</v>
      </c>
      <c r="C13" s="11">
        <v>29.968</v>
      </c>
      <c r="D13" s="2">
        <v>0.39750000000000002</v>
      </c>
      <c r="E13">
        <v>0.39879999999999999</v>
      </c>
      <c r="F13" s="14">
        <v>30.026</v>
      </c>
      <c r="G13">
        <v>0.40050000000000002</v>
      </c>
      <c r="H13">
        <v>0.40129999999999999</v>
      </c>
    </row>
    <row r="14" spans="2:8" x14ac:dyDescent="0.4">
      <c r="B14" s="4">
        <v>9</v>
      </c>
      <c r="C14" s="11">
        <v>29.97</v>
      </c>
      <c r="D14" s="2">
        <v>0.3846</v>
      </c>
      <c r="E14">
        <v>0.38579999999999998</v>
      </c>
      <c r="F14" s="14">
        <v>30.038</v>
      </c>
      <c r="G14">
        <v>0.39129999999999998</v>
      </c>
      <c r="H14">
        <v>0.3931</v>
      </c>
    </row>
    <row r="15" spans="2:8" x14ac:dyDescent="0.4">
      <c r="B15" s="4">
        <v>10</v>
      </c>
      <c r="C15" s="11">
        <v>29.969000000000001</v>
      </c>
      <c r="D15" s="2">
        <v>0.40329999999999999</v>
      </c>
      <c r="E15">
        <v>0.40460000000000002</v>
      </c>
      <c r="F15" s="14">
        <v>30.030999999999999</v>
      </c>
      <c r="G15">
        <v>0.39460000000000001</v>
      </c>
      <c r="H15">
        <v>0.39579999999999999</v>
      </c>
    </row>
    <row r="16" spans="2:8" x14ac:dyDescent="0.4">
      <c r="C16" s="12"/>
      <c r="F16" s="14"/>
    </row>
    <row r="17" spans="2:6" x14ac:dyDescent="0.4">
      <c r="B17" s="3" t="s">
        <v>13</v>
      </c>
      <c r="C17" s="12">
        <f>SUM(C6:C15)/B15</f>
        <v>29.9712</v>
      </c>
      <c r="F17" s="14">
        <f>SUM(F6:F15)/B15</f>
        <v>30.0305</v>
      </c>
    </row>
    <row r="18" spans="2:6" x14ac:dyDescent="0.4">
      <c r="B18" s="3" t="s">
        <v>16</v>
      </c>
      <c r="C18">
        <f>F17-C17</f>
        <v>5.9300000000000352E-2</v>
      </c>
    </row>
    <row r="19" spans="2:6" x14ac:dyDescent="0.4">
      <c r="B19" s="3" t="s">
        <v>14</v>
      </c>
      <c r="C19">
        <f>C18*100</f>
        <v>5.9300000000000352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B231-D89F-405D-A8C5-8E1AAE563D3D}">
  <dimension ref="B2:K33"/>
  <sheetViews>
    <sheetView tabSelected="1" topLeftCell="A13" zoomScale="85" zoomScaleNormal="85" workbookViewId="0">
      <selection activeCell="F18" sqref="F18"/>
    </sheetView>
  </sheetViews>
  <sheetFormatPr defaultRowHeight="14.6" x14ac:dyDescent="0.4"/>
  <cols>
    <col min="9" max="9" width="9.23046875" customWidth="1"/>
    <col min="10" max="10" width="22.53515625" customWidth="1"/>
    <col min="11" max="11" width="26.53515625" customWidth="1"/>
  </cols>
  <sheetData>
    <row r="2" spans="2:11" x14ac:dyDescent="0.4">
      <c r="B2" s="3" t="s">
        <v>0</v>
      </c>
    </row>
    <row r="4" spans="2:11" x14ac:dyDescent="0.4">
      <c r="B4" s="8"/>
      <c r="C4" s="8"/>
      <c r="D4" s="8"/>
      <c r="E4" s="9" t="s">
        <v>15</v>
      </c>
      <c r="F4" s="7"/>
      <c r="G4" s="7"/>
      <c r="H4" s="7"/>
      <c r="J4" s="3" t="s">
        <v>17</v>
      </c>
      <c r="K4" s="3" t="s">
        <v>18</v>
      </c>
    </row>
    <row r="5" spans="2:11" x14ac:dyDescent="0.4">
      <c r="B5" s="5" t="s">
        <v>6</v>
      </c>
      <c r="C5" s="5" t="s">
        <v>7</v>
      </c>
      <c r="D5" s="5" t="s">
        <v>8</v>
      </c>
      <c r="E5" s="10" t="s">
        <v>9</v>
      </c>
      <c r="F5" s="5" t="s">
        <v>10</v>
      </c>
      <c r="G5" s="5" t="s">
        <v>11</v>
      </c>
      <c r="H5" s="10" t="s">
        <v>12</v>
      </c>
      <c r="J5" t="s">
        <v>19</v>
      </c>
      <c r="K5" s="2">
        <f>E17</f>
        <v>0.38286000000000003</v>
      </c>
    </row>
    <row r="6" spans="2:11" x14ac:dyDescent="0.4">
      <c r="B6" s="4">
        <v>1</v>
      </c>
      <c r="C6" s="4">
        <v>29.98</v>
      </c>
      <c r="D6" s="2">
        <v>0.30359999999999998</v>
      </c>
      <c r="E6" s="12">
        <v>0.30430000000000001</v>
      </c>
      <c r="F6">
        <v>30.035</v>
      </c>
      <c r="G6">
        <v>0.439</v>
      </c>
      <c r="H6" s="12">
        <v>0.44040000000000001</v>
      </c>
      <c r="I6">
        <f>Table5332934[[#This Row],[Column7]]-Table5332934[[#This Row],[Column4]]</f>
        <v>0.1361</v>
      </c>
      <c r="J6" t="s">
        <v>20</v>
      </c>
      <c r="K6" s="2">
        <f>H17</f>
        <v>0.41380999999999996</v>
      </c>
    </row>
    <row r="7" spans="2:11" x14ac:dyDescent="0.4">
      <c r="B7" s="4">
        <v>2</v>
      </c>
      <c r="C7" s="4">
        <v>29.972000000000001</v>
      </c>
      <c r="D7" s="2">
        <v>0.3866</v>
      </c>
      <c r="E7" s="12">
        <v>0.3876</v>
      </c>
      <c r="F7">
        <v>30.023</v>
      </c>
      <c r="G7">
        <v>0.40720000000000001</v>
      </c>
      <c r="H7" s="12">
        <v>0.4078</v>
      </c>
      <c r="K7" s="2"/>
    </row>
    <row r="8" spans="2:11" x14ac:dyDescent="0.4">
      <c r="B8" s="4">
        <v>3</v>
      </c>
      <c r="C8" s="4">
        <v>29.971</v>
      </c>
      <c r="D8" s="2">
        <v>0.38129999999999997</v>
      </c>
      <c r="E8" s="12">
        <v>0.38240000000000002</v>
      </c>
      <c r="F8">
        <v>30.027999999999999</v>
      </c>
      <c r="G8">
        <v>0.4108</v>
      </c>
      <c r="H8" s="12">
        <v>0.4118</v>
      </c>
      <c r="J8" t="s">
        <v>21</v>
      </c>
      <c r="K8" s="2">
        <f>K6-K5</f>
        <v>3.0949999999999922E-2</v>
      </c>
    </row>
    <row r="9" spans="2:11" x14ac:dyDescent="0.4">
      <c r="B9" s="4">
        <v>4</v>
      </c>
      <c r="C9" s="4">
        <v>29.97</v>
      </c>
      <c r="D9" s="2">
        <v>0.38790000000000002</v>
      </c>
      <c r="E9" s="12">
        <v>0.38900000000000001</v>
      </c>
      <c r="F9">
        <v>30.041</v>
      </c>
      <c r="G9">
        <v>0.42430000000000001</v>
      </c>
      <c r="H9" s="12">
        <v>0.42620000000000002</v>
      </c>
      <c r="J9" t="s">
        <v>22</v>
      </c>
      <c r="K9" s="2">
        <f>K8/K5</f>
        <v>8.0838948963067231E-2</v>
      </c>
    </row>
    <row r="10" spans="2:11" x14ac:dyDescent="0.4">
      <c r="B10" s="4">
        <v>5</v>
      </c>
      <c r="C10" s="4">
        <v>29.971</v>
      </c>
      <c r="D10" s="2">
        <v>0.37630000000000002</v>
      </c>
      <c r="E10" s="12">
        <v>0.37740000000000001</v>
      </c>
      <c r="F10">
        <v>30.03</v>
      </c>
      <c r="G10">
        <v>0.41710000000000003</v>
      </c>
      <c r="H10" s="12">
        <v>0.41810000000000003</v>
      </c>
      <c r="J10" t="s">
        <v>23</v>
      </c>
      <c r="K10" s="2">
        <f>100 * (1-K9)</f>
        <v>91.916105103693283</v>
      </c>
    </row>
    <row r="11" spans="2:11" x14ac:dyDescent="0.4">
      <c r="B11" s="4">
        <v>6</v>
      </c>
      <c r="C11" s="4">
        <v>29.97</v>
      </c>
      <c r="D11" s="2">
        <v>0.40410000000000001</v>
      </c>
      <c r="E11" s="12">
        <v>0.40510000000000002</v>
      </c>
      <c r="F11">
        <v>30.053999999999998</v>
      </c>
      <c r="G11">
        <v>0.4234</v>
      </c>
      <c r="H11" s="12">
        <v>0.42680000000000001</v>
      </c>
    </row>
    <row r="12" spans="2:11" x14ac:dyDescent="0.4">
      <c r="B12" s="4">
        <v>7</v>
      </c>
      <c r="C12" s="4">
        <v>29.971</v>
      </c>
      <c r="D12" s="2">
        <v>0.39250000000000002</v>
      </c>
      <c r="E12" s="12">
        <v>0.39360000000000001</v>
      </c>
      <c r="F12">
        <v>29.998999999999999</v>
      </c>
      <c r="G12">
        <v>0.4168</v>
      </c>
      <c r="H12" s="12">
        <v>0.4168</v>
      </c>
    </row>
    <row r="13" spans="2:11" x14ac:dyDescent="0.4">
      <c r="B13" s="11">
        <v>8</v>
      </c>
      <c r="C13" s="11">
        <v>29.968</v>
      </c>
      <c r="D13" s="18">
        <v>0.39750000000000002</v>
      </c>
      <c r="E13" s="12">
        <v>0.39879999999999999</v>
      </c>
      <c r="F13" s="12">
        <v>30.026</v>
      </c>
      <c r="G13" s="12">
        <v>0.40050000000000002</v>
      </c>
      <c r="H13" s="12">
        <v>0.40129999999999999</v>
      </c>
      <c r="I13" s="12" t="s">
        <v>60</v>
      </c>
    </row>
    <row r="14" spans="2:11" x14ac:dyDescent="0.4">
      <c r="B14" s="4">
        <v>9</v>
      </c>
      <c r="C14" s="4">
        <v>29.97</v>
      </c>
      <c r="D14" s="2">
        <v>0.3846</v>
      </c>
      <c r="E14" s="12">
        <v>0.38579999999999998</v>
      </c>
      <c r="F14">
        <v>30.038</v>
      </c>
      <c r="G14">
        <v>0.39129999999999998</v>
      </c>
      <c r="H14" s="12">
        <v>0.3931</v>
      </c>
    </row>
    <row r="15" spans="2:11" x14ac:dyDescent="0.4">
      <c r="B15" s="4">
        <v>10</v>
      </c>
      <c r="C15" s="4">
        <v>29.969000000000001</v>
      </c>
      <c r="D15" s="2">
        <v>0.40329999999999999</v>
      </c>
      <c r="E15" s="12">
        <v>0.40460000000000002</v>
      </c>
      <c r="F15">
        <v>30.030999999999999</v>
      </c>
      <c r="G15">
        <v>0.39460000000000001</v>
      </c>
      <c r="H15" s="12">
        <v>0.39579999999999999</v>
      </c>
    </row>
    <row r="16" spans="2:11" x14ac:dyDescent="0.4">
      <c r="E16" s="12"/>
      <c r="H16" s="12"/>
    </row>
    <row r="17" spans="2:11" x14ac:dyDescent="0.4">
      <c r="B17" s="3" t="s">
        <v>13</v>
      </c>
      <c r="E17" s="12">
        <f>SUM(E6:E15)/10</f>
        <v>0.38286000000000003</v>
      </c>
      <c r="H17" s="12">
        <f>SUM(H6:H15)/10</f>
        <v>0.41380999999999996</v>
      </c>
    </row>
    <row r="18" spans="2:11" x14ac:dyDescent="0.4">
      <c r="B18" s="3" t="s">
        <v>16</v>
      </c>
      <c r="E18" s="12">
        <f>H17-E17</f>
        <v>3.0949999999999922E-2</v>
      </c>
      <c r="H18" s="12"/>
    </row>
    <row r="19" spans="2:11" x14ac:dyDescent="0.4">
      <c r="B19" s="3" t="s">
        <v>14</v>
      </c>
      <c r="E19" s="12">
        <f>E18*100</f>
        <v>3.0949999999999922</v>
      </c>
      <c r="H19" s="12"/>
    </row>
    <row r="22" spans="2:11" x14ac:dyDescent="0.4">
      <c r="D22">
        <f>H13-E13</f>
        <v>2.5000000000000022E-3</v>
      </c>
    </row>
    <row r="28" spans="2:11" x14ac:dyDescent="0.4">
      <c r="J28" t="s">
        <v>24</v>
      </c>
      <c r="K28" t="s">
        <v>25</v>
      </c>
    </row>
    <row r="29" spans="2:11" x14ac:dyDescent="0.4">
      <c r="K29" t="s">
        <v>26</v>
      </c>
    </row>
    <row r="31" spans="2:11" x14ac:dyDescent="0.4">
      <c r="K31" s="6">
        <f>H17/E17</f>
        <v>1.0808389489630672</v>
      </c>
    </row>
    <row r="32" spans="2:11" x14ac:dyDescent="0.4">
      <c r="K32" t="s">
        <v>27</v>
      </c>
    </row>
    <row r="33" spans="11:11" ht="17.149999999999999" x14ac:dyDescent="0.55000000000000004">
      <c r="K33" s="15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72CC-5CF3-43BB-ABBB-1AC2406D2E19}">
  <dimension ref="B2:H19"/>
  <sheetViews>
    <sheetView workbookViewId="0">
      <selection activeCell="B2" sqref="B2:H19"/>
    </sheetView>
  </sheetViews>
  <sheetFormatPr defaultRowHeight="14.6" x14ac:dyDescent="0.4"/>
  <sheetData>
    <row r="2" spans="2:8" x14ac:dyDescent="0.4">
      <c r="B2" s="3" t="s">
        <v>0</v>
      </c>
    </row>
    <row r="4" spans="2:8" x14ac:dyDescent="0.4">
      <c r="B4" s="8"/>
      <c r="C4" s="8"/>
      <c r="D4" s="8"/>
      <c r="E4" s="9" t="s">
        <v>15</v>
      </c>
      <c r="F4" s="7"/>
      <c r="G4" s="7"/>
      <c r="H4" s="7"/>
    </row>
    <row r="5" spans="2:8" x14ac:dyDescent="0.4">
      <c r="B5" s="5" t="s">
        <v>6</v>
      </c>
      <c r="C5" s="5" t="s">
        <v>7</v>
      </c>
      <c r="D5" s="10" t="s">
        <v>8</v>
      </c>
      <c r="E5" s="5" t="s">
        <v>9</v>
      </c>
      <c r="F5" s="5" t="s">
        <v>10</v>
      </c>
      <c r="G5" s="10" t="s">
        <v>11</v>
      </c>
      <c r="H5" s="5" t="s">
        <v>12</v>
      </c>
    </row>
    <row r="6" spans="2:8" x14ac:dyDescent="0.4">
      <c r="B6" s="4">
        <v>1</v>
      </c>
      <c r="C6" s="4">
        <v>29.98</v>
      </c>
      <c r="D6" s="18">
        <v>0.30359999999999998</v>
      </c>
      <c r="E6">
        <v>0.30430000000000001</v>
      </c>
      <c r="F6">
        <v>30.035</v>
      </c>
      <c r="G6" s="12">
        <v>0.439</v>
      </c>
      <c r="H6">
        <v>0.44040000000000001</v>
      </c>
    </row>
    <row r="7" spans="2:8" x14ac:dyDescent="0.4">
      <c r="B7" s="4">
        <v>2</v>
      </c>
      <c r="C7" s="4">
        <v>29.972000000000001</v>
      </c>
      <c r="D7" s="18">
        <v>0.3866</v>
      </c>
      <c r="E7">
        <v>0.3876</v>
      </c>
      <c r="F7">
        <v>30.023</v>
      </c>
      <c r="G7" s="12">
        <v>0.40720000000000001</v>
      </c>
      <c r="H7">
        <v>0.4078</v>
      </c>
    </row>
    <row r="8" spans="2:8" x14ac:dyDescent="0.4">
      <c r="B8" s="4">
        <v>3</v>
      </c>
      <c r="C8" s="4">
        <v>29.971</v>
      </c>
      <c r="D8" s="18">
        <v>0.38129999999999997</v>
      </c>
      <c r="E8">
        <v>0.38240000000000002</v>
      </c>
      <c r="F8">
        <v>30.027999999999999</v>
      </c>
      <c r="G8" s="12">
        <v>0.4108</v>
      </c>
      <c r="H8">
        <v>0.4118</v>
      </c>
    </row>
    <row r="9" spans="2:8" x14ac:dyDescent="0.4">
      <c r="B9" s="4">
        <v>4</v>
      </c>
      <c r="C9" s="4">
        <v>29.97</v>
      </c>
      <c r="D9" s="18">
        <v>0.38790000000000002</v>
      </c>
      <c r="E9">
        <v>0.38900000000000001</v>
      </c>
      <c r="F9">
        <v>30.041</v>
      </c>
      <c r="G9" s="12">
        <v>0.42430000000000001</v>
      </c>
      <c r="H9">
        <v>0.42620000000000002</v>
      </c>
    </row>
    <row r="10" spans="2:8" x14ac:dyDescent="0.4">
      <c r="B10" s="4">
        <v>5</v>
      </c>
      <c r="C10" s="4">
        <v>29.971</v>
      </c>
      <c r="D10" s="18">
        <v>0.37630000000000002</v>
      </c>
      <c r="E10">
        <v>0.37740000000000001</v>
      </c>
      <c r="F10">
        <v>30.03</v>
      </c>
      <c r="G10" s="12">
        <v>0.41710000000000003</v>
      </c>
      <c r="H10">
        <v>0.41810000000000003</v>
      </c>
    </row>
    <row r="11" spans="2:8" x14ac:dyDescent="0.4">
      <c r="B11" s="4">
        <v>6</v>
      </c>
      <c r="C11" s="4">
        <v>29.97</v>
      </c>
      <c r="D11" s="18">
        <v>0.40410000000000001</v>
      </c>
      <c r="E11">
        <v>0.40510000000000002</v>
      </c>
      <c r="F11">
        <v>30.053999999999998</v>
      </c>
      <c r="G11" s="12">
        <v>0.4234</v>
      </c>
      <c r="H11">
        <v>0.42680000000000001</v>
      </c>
    </row>
    <row r="12" spans="2:8" x14ac:dyDescent="0.4">
      <c r="B12" s="4">
        <v>7</v>
      </c>
      <c r="C12" s="4">
        <v>29.971</v>
      </c>
      <c r="D12" s="18">
        <v>0.39250000000000002</v>
      </c>
      <c r="E12">
        <v>0.39360000000000001</v>
      </c>
      <c r="F12">
        <v>29.998999999999999</v>
      </c>
      <c r="G12" s="12">
        <v>0.4168</v>
      </c>
      <c r="H12">
        <v>0.4168</v>
      </c>
    </row>
    <row r="13" spans="2:8" x14ac:dyDescent="0.4">
      <c r="B13" s="4">
        <v>8</v>
      </c>
      <c r="C13" s="4">
        <v>29.968</v>
      </c>
      <c r="D13" s="18">
        <v>0.39750000000000002</v>
      </c>
      <c r="E13">
        <v>0.39879999999999999</v>
      </c>
      <c r="F13">
        <v>30.026</v>
      </c>
      <c r="G13" s="12">
        <v>0.40050000000000002</v>
      </c>
      <c r="H13">
        <v>0.40129999999999999</v>
      </c>
    </row>
    <row r="14" spans="2:8" x14ac:dyDescent="0.4">
      <c r="B14" s="4">
        <v>9</v>
      </c>
      <c r="C14" s="4">
        <v>29.97</v>
      </c>
      <c r="D14" s="18">
        <v>0.3846</v>
      </c>
      <c r="E14">
        <v>0.38579999999999998</v>
      </c>
      <c r="F14">
        <v>30.038</v>
      </c>
      <c r="G14" s="12">
        <v>0.39129999999999998</v>
      </c>
      <c r="H14">
        <v>0.3931</v>
      </c>
    </row>
    <row r="15" spans="2:8" x14ac:dyDescent="0.4">
      <c r="B15" s="4">
        <v>10</v>
      </c>
      <c r="C15" s="4">
        <v>29.969000000000001</v>
      </c>
      <c r="D15" s="18">
        <v>0.40329999999999999</v>
      </c>
      <c r="E15">
        <v>0.40460000000000002</v>
      </c>
      <c r="F15">
        <v>30.030999999999999</v>
      </c>
      <c r="G15" s="12">
        <v>0.39460000000000001</v>
      </c>
      <c r="H15">
        <v>0.39579999999999999</v>
      </c>
    </row>
    <row r="16" spans="2:8" x14ac:dyDescent="0.4">
      <c r="D16" s="12"/>
      <c r="G16" s="12"/>
    </row>
    <row r="17" spans="2:7" x14ac:dyDescent="0.4">
      <c r="B17" s="3" t="s">
        <v>13</v>
      </c>
      <c r="D17" s="12">
        <f>SUM(D6:D15)/10</f>
        <v>0.38177000000000005</v>
      </c>
      <c r="G17" s="12">
        <f>SUM(G6:G15)/10</f>
        <v>0.41249999999999998</v>
      </c>
    </row>
    <row r="18" spans="2:7" x14ac:dyDescent="0.4">
      <c r="B18" s="3" t="s">
        <v>16</v>
      </c>
      <c r="D18">
        <f>G17-D17</f>
        <v>3.0729999999999924E-2</v>
      </c>
    </row>
    <row r="19" spans="2:7" x14ac:dyDescent="0.4">
      <c r="B19" s="3" t="s">
        <v>14</v>
      </c>
      <c r="D19">
        <f>D18*100</f>
        <v>3.0729999999999924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D458-A12F-4B09-AB67-1645345FC634}">
  <dimension ref="B2:I19"/>
  <sheetViews>
    <sheetView workbookViewId="0">
      <selection activeCell="O30" sqref="O30"/>
    </sheetView>
  </sheetViews>
  <sheetFormatPr defaultRowHeight="14.6" x14ac:dyDescent="0.4"/>
  <cols>
    <col min="8" max="8" width="11" customWidth="1"/>
    <col min="9" max="9" width="12.3828125" customWidth="1"/>
  </cols>
  <sheetData>
    <row r="2" spans="2:9" x14ac:dyDescent="0.4">
      <c r="B2" s="3" t="s">
        <v>0</v>
      </c>
    </row>
    <row r="4" spans="2:9" x14ac:dyDescent="0.4">
      <c r="B4" s="8"/>
      <c r="C4" s="8"/>
      <c r="D4" s="8"/>
      <c r="E4" s="9" t="s">
        <v>15</v>
      </c>
      <c r="F4" s="7"/>
      <c r="G4" s="7"/>
      <c r="H4" s="7"/>
      <c r="I4" s="2"/>
    </row>
    <row r="5" spans="2:9" x14ac:dyDescent="0.4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10" t="s">
        <v>29</v>
      </c>
      <c r="I5" s="19" t="s">
        <v>28</v>
      </c>
    </row>
    <row r="6" spans="2:9" x14ac:dyDescent="0.4">
      <c r="B6" s="4">
        <v>1</v>
      </c>
      <c r="C6" s="4">
        <v>29.98</v>
      </c>
      <c r="D6" s="2">
        <v>0.30359999999999998</v>
      </c>
      <c r="E6">
        <v>0.30430000000000001</v>
      </c>
      <c r="F6">
        <v>30.035</v>
      </c>
      <c r="G6">
        <v>0.439</v>
      </c>
      <c r="H6" s="18">
        <v>1.4139999999999999</v>
      </c>
      <c r="I6" s="18">
        <v>1.8720000000000001</v>
      </c>
    </row>
    <row r="7" spans="2:9" x14ac:dyDescent="0.4">
      <c r="B7" s="4">
        <v>2</v>
      </c>
      <c r="C7" s="4">
        <v>29.972000000000001</v>
      </c>
      <c r="D7" s="2">
        <v>0.3866</v>
      </c>
      <c r="E7">
        <v>0.3876</v>
      </c>
      <c r="F7">
        <v>30.023</v>
      </c>
      <c r="G7">
        <v>0.40720000000000001</v>
      </c>
      <c r="H7" s="18">
        <v>1.008</v>
      </c>
      <c r="I7" s="18">
        <v>1.0089999999999999</v>
      </c>
    </row>
    <row r="8" spans="2:9" x14ac:dyDescent="0.4">
      <c r="B8" s="4">
        <v>3</v>
      </c>
      <c r="C8" s="4">
        <v>29.971</v>
      </c>
      <c r="D8" s="2">
        <v>0.38129999999999997</v>
      </c>
      <c r="E8">
        <v>0.38240000000000002</v>
      </c>
      <c r="F8">
        <v>30.027999999999999</v>
      </c>
      <c r="G8">
        <v>0.4108</v>
      </c>
      <c r="H8" s="18">
        <v>1.9470000000000001</v>
      </c>
      <c r="I8" s="18">
        <v>1.946</v>
      </c>
    </row>
    <row r="9" spans="2:9" x14ac:dyDescent="0.4">
      <c r="B9" s="4">
        <v>4</v>
      </c>
      <c r="C9" s="4">
        <v>29.97</v>
      </c>
      <c r="D9" s="2">
        <v>0.38790000000000002</v>
      </c>
      <c r="E9">
        <v>0.38900000000000001</v>
      </c>
      <c r="F9">
        <v>30.041</v>
      </c>
      <c r="G9">
        <v>0.42430000000000001</v>
      </c>
      <c r="H9" s="18">
        <v>2.2949999999999999</v>
      </c>
      <c r="I9" s="18">
        <v>2.2949999999999999</v>
      </c>
    </row>
    <row r="10" spans="2:9" x14ac:dyDescent="0.4">
      <c r="B10" s="4">
        <v>5</v>
      </c>
      <c r="C10" s="4">
        <v>29.971</v>
      </c>
      <c r="D10" s="2">
        <v>0.37630000000000002</v>
      </c>
      <c r="E10">
        <v>0.37740000000000001</v>
      </c>
      <c r="F10">
        <v>30.03</v>
      </c>
      <c r="G10">
        <v>0.41710000000000003</v>
      </c>
      <c r="H10" s="18">
        <v>0.92500000000000004</v>
      </c>
      <c r="I10" s="18">
        <v>0.92600000000000005</v>
      </c>
    </row>
    <row r="11" spans="2:9" x14ac:dyDescent="0.4">
      <c r="B11" s="4">
        <v>6</v>
      </c>
      <c r="C11" s="4">
        <v>29.97</v>
      </c>
      <c r="D11" s="2">
        <v>0.40410000000000001</v>
      </c>
      <c r="E11">
        <v>0.40510000000000002</v>
      </c>
      <c r="F11">
        <v>30.053999999999998</v>
      </c>
      <c r="G11">
        <v>0.4234</v>
      </c>
      <c r="H11" s="18">
        <v>2.6850000000000001</v>
      </c>
      <c r="I11" s="18">
        <v>2.6850000000000001</v>
      </c>
    </row>
    <row r="12" spans="2:9" x14ac:dyDescent="0.4">
      <c r="B12" s="4">
        <v>7</v>
      </c>
      <c r="C12" s="4">
        <v>29.971</v>
      </c>
      <c r="D12" s="2">
        <v>0.39250000000000002</v>
      </c>
      <c r="E12">
        <v>0.39360000000000001</v>
      </c>
      <c r="F12">
        <v>29.998999999999999</v>
      </c>
      <c r="G12">
        <v>0.4168</v>
      </c>
      <c r="H12" s="18">
        <v>1.7609999999999999</v>
      </c>
      <c r="I12" s="18">
        <v>1.7589999999999999</v>
      </c>
    </row>
    <row r="13" spans="2:9" x14ac:dyDescent="0.4">
      <c r="B13" s="4">
        <v>8</v>
      </c>
      <c r="C13" s="4">
        <v>29.968</v>
      </c>
      <c r="D13" s="2">
        <v>0.39750000000000002</v>
      </c>
      <c r="E13">
        <v>0.39879999999999999</v>
      </c>
      <c r="F13">
        <v>30.026</v>
      </c>
      <c r="G13">
        <v>0.40050000000000002</v>
      </c>
      <c r="H13" s="18">
        <v>1.796</v>
      </c>
      <c r="I13" s="18">
        <v>1.796</v>
      </c>
    </row>
    <row r="14" spans="2:9" x14ac:dyDescent="0.4">
      <c r="B14" s="4">
        <v>9</v>
      </c>
      <c r="C14" s="4">
        <v>29.97</v>
      </c>
      <c r="D14" s="2">
        <v>0.3846</v>
      </c>
      <c r="E14">
        <v>0.38579999999999998</v>
      </c>
      <c r="F14">
        <v>30.038</v>
      </c>
      <c r="G14">
        <v>0.39129999999999998</v>
      </c>
      <c r="H14" s="18">
        <v>0.78800000000000003</v>
      </c>
      <c r="I14" s="18">
        <v>0.78800000000000003</v>
      </c>
    </row>
    <row r="15" spans="2:9" x14ac:dyDescent="0.4">
      <c r="B15" s="4">
        <v>10</v>
      </c>
      <c r="C15" s="4">
        <v>29.969000000000001</v>
      </c>
      <c r="D15" s="2">
        <v>0.40329999999999999</v>
      </c>
      <c r="E15">
        <v>0.40460000000000002</v>
      </c>
      <c r="F15">
        <v>30.030999999999999</v>
      </c>
      <c r="G15">
        <v>0.39460000000000001</v>
      </c>
      <c r="H15" s="18">
        <v>0.878</v>
      </c>
      <c r="I15" s="18">
        <v>0.878</v>
      </c>
    </row>
    <row r="16" spans="2:9" x14ac:dyDescent="0.4">
      <c r="H16" s="12"/>
      <c r="I16" s="12"/>
    </row>
    <row r="17" spans="2:9" x14ac:dyDescent="0.4">
      <c r="B17" s="3" t="s">
        <v>30</v>
      </c>
      <c r="H17" s="18">
        <f>SUM(H6:H15)/10</f>
        <v>1.5496999999999999</v>
      </c>
      <c r="I17" s="18">
        <f>SUM(I6:I15)/10</f>
        <v>1.5954000000000002</v>
      </c>
    </row>
    <row r="18" spans="2:9" x14ac:dyDescent="0.4">
      <c r="B18" s="3" t="s">
        <v>16</v>
      </c>
      <c r="H18" s="18">
        <f>I17-H17</f>
        <v>4.5700000000000296E-2</v>
      </c>
    </row>
    <row r="19" spans="2:9" x14ac:dyDescent="0.4">
      <c r="B19" s="3" t="s">
        <v>14</v>
      </c>
      <c r="H19" s="18">
        <f>H18*100</f>
        <v>4.5700000000000296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6F57-89D2-43BD-8EA6-52D7B74105AE}">
  <dimension ref="B3:K14"/>
  <sheetViews>
    <sheetView workbookViewId="0">
      <selection activeCell="G17" sqref="G17"/>
    </sheetView>
  </sheetViews>
  <sheetFormatPr defaultRowHeight="14.6" x14ac:dyDescent="0.4"/>
  <sheetData>
    <row r="3" spans="2:11" x14ac:dyDescent="0.4">
      <c r="B3" t="s">
        <v>44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J3" s="3" t="str">
        <f>D3</f>
        <v>Episode</v>
      </c>
      <c r="K3" s="3" t="str">
        <f>G3</f>
        <v>Avg Dist (m)</v>
      </c>
    </row>
    <row r="4" spans="2:11" x14ac:dyDescent="0.4">
      <c r="B4" t="s">
        <v>45</v>
      </c>
      <c r="D4">
        <f>VALUE(TRIM(_xlfn.TEXTBEFORE(_xlfn.TEXTAFTER(B4,"Episode "),"/")))</f>
        <v>1</v>
      </c>
      <c r="E4">
        <f>VALUE(_xlfn.TEXTBEFORE(_xlfn.TEXTAFTER(B4,"Steps: ")," |"))</f>
        <v>500</v>
      </c>
      <c r="F4" t="str">
        <f>_xlfn.TEXTBEFORE(_xlfn.TEXTAFTER(B4,"Success: ")," |")</f>
        <v>✅</v>
      </c>
      <c r="G4">
        <f>VALUE(_xlfn.TEXTBEFORE(_xlfn.TEXTAFTER(B4,"Avg Dist: "),"m"))</f>
        <v>0.03</v>
      </c>
      <c r="H4" t="str">
        <f>_xlfn.TEXTAFTER(B4,"Reason: ")</f>
        <v>completed</v>
      </c>
      <c r="J4">
        <f>D4</f>
        <v>1</v>
      </c>
      <c r="K4">
        <f>G4</f>
        <v>0.03</v>
      </c>
    </row>
    <row r="5" spans="2:11" x14ac:dyDescent="0.4">
      <c r="B5" t="s">
        <v>46</v>
      </c>
      <c r="D5">
        <f t="shared" ref="D5:D13" si="0">VALUE(TRIM(_xlfn.TEXTBEFORE(_xlfn.TEXTAFTER(B5,"Episode "),"/")))</f>
        <v>2</v>
      </c>
      <c r="E5">
        <f t="shared" ref="E5:E13" si="1">VALUE(_xlfn.TEXTBEFORE(_xlfn.TEXTAFTER(B5,"Steps: ")," |"))</f>
        <v>500</v>
      </c>
      <c r="F5" t="str">
        <f t="shared" ref="F5:F13" si="2">_xlfn.TEXTBEFORE(_xlfn.TEXTAFTER(B5,"Success: ")," |")</f>
        <v>✅</v>
      </c>
      <c r="G5">
        <f t="shared" ref="G5:G13" si="3">VALUE(_xlfn.TEXTBEFORE(_xlfn.TEXTAFTER(B5,"Avg Dist: "),"m"))</f>
        <v>0.03</v>
      </c>
      <c r="H5" t="str">
        <f t="shared" ref="H5:H13" si="4">_xlfn.TEXTAFTER(B5,"Reason: ")</f>
        <v>completed</v>
      </c>
      <c r="J5">
        <f t="shared" ref="J5:J13" si="5">D5</f>
        <v>2</v>
      </c>
      <c r="K5">
        <f t="shared" ref="K5:K13" si="6">G5</f>
        <v>0.03</v>
      </c>
    </row>
    <row r="6" spans="2:11" x14ac:dyDescent="0.4">
      <c r="B6" t="s">
        <v>47</v>
      </c>
      <c r="D6">
        <f t="shared" si="0"/>
        <v>3</v>
      </c>
      <c r="E6">
        <f t="shared" si="1"/>
        <v>500</v>
      </c>
      <c r="F6" t="str">
        <f t="shared" si="2"/>
        <v>✅</v>
      </c>
      <c r="G6">
        <f t="shared" si="3"/>
        <v>0.03</v>
      </c>
      <c r="H6" t="str">
        <f t="shared" si="4"/>
        <v>completed</v>
      </c>
      <c r="J6">
        <f t="shared" si="5"/>
        <v>3</v>
      </c>
      <c r="K6">
        <f t="shared" si="6"/>
        <v>0.03</v>
      </c>
    </row>
    <row r="7" spans="2:11" x14ac:dyDescent="0.4">
      <c r="B7" t="s">
        <v>48</v>
      </c>
      <c r="D7">
        <f t="shared" si="0"/>
        <v>4</v>
      </c>
      <c r="E7">
        <f t="shared" si="1"/>
        <v>500</v>
      </c>
      <c r="F7" t="str">
        <f t="shared" si="2"/>
        <v>✅</v>
      </c>
      <c r="G7">
        <f t="shared" si="3"/>
        <v>0.03</v>
      </c>
      <c r="H7" t="str">
        <f t="shared" si="4"/>
        <v>completed</v>
      </c>
      <c r="J7">
        <f t="shared" si="5"/>
        <v>4</v>
      </c>
      <c r="K7">
        <f t="shared" si="6"/>
        <v>0.03</v>
      </c>
    </row>
    <row r="8" spans="2:11" x14ac:dyDescent="0.4">
      <c r="B8" t="s">
        <v>49</v>
      </c>
      <c r="D8">
        <f t="shared" si="0"/>
        <v>5</v>
      </c>
      <c r="E8">
        <f t="shared" si="1"/>
        <v>500</v>
      </c>
      <c r="F8" t="str">
        <f t="shared" si="2"/>
        <v>✅</v>
      </c>
      <c r="G8">
        <f t="shared" si="3"/>
        <v>0.03</v>
      </c>
      <c r="H8" t="str">
        <f t="shared" si="4"/>
        <v>completed</v>
      </c>
      <c r="J8">
        <f t="shared" si="5"/>
        <v>5</v>
      </c>
      <c r="K8">
        <f t="shared" si="6"/>
        <v>0.03</v>
      </c>
    </row>
    <row r="9" spans="2:11" x14ac:dyDescent="0.4">
      <c r="B9" t="s">
        <v>50</v>
      </c>
      <c r="D9">
        <f t="shared" si="0"/>
        <v>6</v>
      </c>
      <c r="E9">
        <f t="shared" si="1"/>
        <v>500</v>
      </c>
      <c r="F9" t="str">
        <f t="shared" si="2"/>
        <v>✅</v>
      </c>
      <c r="G9">
        <f t="shared" si="3"/>
        <v>0.03</v>
      </c>
      <c r="H9" t="str">
        <f t="shared" si="4"/>
        <v>completed</v>
      </c>
      <c r="J9">
        <f t="shared" si="5"/>
        <v>6</v>
      </c>
      <c r="K9">
        <f t="shared" si="6"/>
        <v>0.03</v>
      </c>
    </row>
    <row r="10" spans="2:11" x14ac:dyDescent="0.4">
      <c r="B10" t="s">
        <v>51</v>
      </c>
      <c r="D10">
        <f t="shared" si="0"/>
        <v>7</v>
      </c>
      <c r="E10">
        <f t="shared" si="1"/>
        <v>500</v>
      </c>
      <c r="F10" t="str">
        <f t="shared" si="2"/>
        <v>✅</v>
      </c>
      <c r="G10">
        <f t="shared" si="3"/>
        <v>0.03</v>
      </c>
      <c r="H10" t="str">
        <f t="shared" si="4"/>
        <v>completed</v>
      </c>
      <c r="J10">
        <f t="shared" si="5"/>
        <v>7</v>
      </c>
      <c r="K10">
        <f t="shared" si="6"/>
        <v>0.03</v>
      </c>
    </row>
    <row r="11" spans="2:11" x14ac:dyDescent="0.4">
      <c r="B11" t="s">
        <v>52</v>
      </c>
      <c r="D11">
        <f t="shared" si="0"/>
        <v>8</v>
      </c>
      <c r="E11">
        <f t="shared" si="1"/>
        <v>500</v>
      </c>
      <c r="F11" t="str">
        <f t="shared" si="2"/>
        <v>✅</v>
      </c>
      <c r="G11">
        <f t="shared" si="3"/>
        <v>0.03</v>
      </c>
      <c r="H11" t="str">
        <f t="shared" si="4"/>
        <v>completed</v>
      </c>
      <c r="J11">
        <f t="shared" si="5"/>
        <v>8</v>
      </c>
      <c r="K11">
        <f t="shared" si="6"/>
        <v>0.03</v>
      </c>
    </row>
    <row r="12" spans="2:11" x14ac:dyDescent="0.4">
      <c r="B12" t="s">
        <v>53</v>
      </c>
      <c r="D12">
        <f t="shared" si="0"/>
        <v>9</v>
      </c>
      <c r="E12">
        <f t="shared" si="1"/>
        <v>500</v>
      </c>
      <c r="F12" t="str">
        <f t="shared" si="2"/>
        <v>✅</v>
      </c>
      <c r="G12">
        <f t="shared" si="3"/>
        <v>0.03</v>
      </c>
      <c r="H12" t="str">
        <f t="shared" si="4"/>
        <v>completed</v>
      </c>
      <c r="J12">
        <f t="shared" si="5"/>
        <v>9</v>
      </c>
      <c r="K12">
        <f t="shared" si="6"/>
        <v>0.03</v>
      </c>
    </row>
    <row r="13" spans="2:11" x14ac:dyDescent="0.4">
      <c r="B13" t="s">
        <v>54</v>
      </c>
      <c r="D13">
        <f t="shared" si="0"/>
        <v>10</v>
      </c>
      <c r="E13">
        <f t="shared" si="1"/>
        <v>500</v>
      </c>
      <c r="F13" t="str">
        <f t="shared" si="2"/>
        <v>✅</v>
      </c>
      <c r="G13">
        <f t="shared" si="3"/>
        <v>0.03</v>
      </c>
      <c r="H13" t="str">
        <f t="shared" si="4"/>
        <v>completed</v>
      </c>
      <c r="J13">
        <f t="shared" si="5"/>
        <v>10</v>
      </c>
      <c r="K13">
        <f t="shared" si="6"/>
        <v>0.03</v>
      </c>
    </row>
    <row r="14" spans="2:11" x14ac:dyDescent="0.4">
      <c r="B14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5750-3B44-400A-928D-54B5EF3BBC9F}">
  <dimension ref="B3:N17"/>
  <sheetViews>
    <sheetView workbookViewId="0">
      <selection activeCell="K15" sqref="K15"/>
    </sheetView>
  </sheetViews>
  <sheetFormatPr defaultRowHeight="14.6" x14ac:dyDescent="0.4"/>
  <cols>
    <col min="2" max="2" width="28.84375" customWidth="1"/>
    <col min="3" max="3" width="15.15234375" customWidth="1"/>
    <col min="4" max="4" width="13.3046875" customWidth="1"/>
    <col min="7" max="7" width="9.15234375" customWidth="1"/>
    <col min="12" max="12" width="11.15234375" customWidth="1"/>
    <col min="13" max="14" width="12" customWidth="1"/>
  </cols>
  <sheetData>
    <row r="3" spans="2:14" x14ac:dyDescent="0.4">
      <c r="B3" s="3" t="s">
        <v>31</v>
      </c>
      <c r="G3" s="3" t="s">
        <v>42</v>
      </c>
      <c r="H3" s="3"/>
      <c r="I3" s="3"/>
    </row>
    <row r="5" spans="2:14" x14ac:dyDescent="0.4">
      <c r="B5" t="s">
        <v>32</v>
      </c>
      <c r="C5" s="2" t="s">
        <v>33</v>
      </c>
      <c r="D5" s="2" t="s">
        <v>34</v>
      </c>
      <c r="E5" s="2" t="s">
        <v>16</v>
      </c>
      <c r="G5" s="8"/>
      <c r="H5" s="8"/>
      <c r="I5" s="8"/>
      <c r="J5" s="9" t="s">
        <v>15</v>
      </c>
      <c r="K5" s="7"/>
      <c r="L5" s="7"/>
      <c r="M5" s="7"/>
      <c r="N5" s="2"/>
    </row>
    <row r="6" spans="2:14" x14ac:dyDescent="0.4">
      <c r="B6" t="s">
        <v>35</v>
      </c>
      <c r="C6" s="2">
        <v>29.9712</v>
      </c>
      <c r="D6" s="2">
        <v>30.0305</v>
      </c>
      <c r="E6" s="2">
        <v>5.9299999999999999E-2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29</v>
      </c>
      <c r="N6" s="1" t="s">
        <v>28</v>
      </c>
    </row>
    <row r="7" spans="2:14" x14ac:dyDescent="0.4">
      <c r="B7" t="s">
        <v>36</v>
      </c>
      <c r="C7" s="2">
        <v>0.26869999999999999</v>
      </c>
      <c r="D7" s="2">
        <v>0.31950000000000001</v>
      </c>
      <c r="E7" s="2">
        <v>5.0799999999999998E-2</v>
      </c>
      <c r="G7" s="4">
        <v>1</v>
      </c>
      <c r="H7" s="4">
        <v>29.98</v>
      </c>
      <c r="I7" s="2">
        <v>0.30359999999999998</v>
      </c>
      <c r="J7">
        <v>0.30430000000000001</v>
      </c>
      <c r="K7">
        <v>30.035</v>
      </c>
      <c r="L7">
        <v>0.439</v>
      </c>
      <c r="M7" s="2">
        <v>1.4139999999999999</v>
      </c>
      <c r="N7" s="2">
        <v>1.8720000000000001</v>
      </c>
    </row>
    <row r="8" spans="2:14" x14ac:dyDescent="0.4">
      <c r="B8" t="s">
        <v>37</v>
      </c>
      <c r="C8" s="2">
        <v>0.38279999999999997</v>
      </c>
      <c r="D8" s="2">
        <v>0.4138</v>
      </c>
      <c r="E8" s="2">
        <v>3.1E-2</v>
      </c>
      <c r="G8" s="4">
        <v>2</v>
      </c>
      <c r="H8" s="4">
        <v>29.972000000000001</v>
      </c>
      <c r="I8" s="2">
        <v>0.3866</v>
      </c>
      <c r="J8">
        <v>0.3876</v>
      </c>
      <c r="K8">
        <v>30.023</v>
      </c>
      <c r="L8">
        <v>0.40720000000000001</v>
      </c>
      <c r="M8" s="2">
        <v>1.008</v>
      </c>
      <c r="N8" s="2">
        <v>1.0089999999999999</v>
      </c>
    </row>
    <row r="9" spans="2:14" x14ac:dyDescent="0.4">
      <c r="B9" t="s">
        <v>38</v>
      </c>
      <c r="C9" s="2">
        <v>0.38179999999999997</v>
      </c>
      <c r="D9" s="2">
        <v>0.41249999999999998</v>
      </c>
      <c r="E9" s="2">
        <v>3.0700000000000002E-2</v>
      </c>
      <c r="G9" s="4">
        <v>3</v>
      </c>
      <c r="H9" s="4">
        <v>29.971</v>
      </c>
      <c r="I9" s="2">
        <v>0.38129999999999997</v>
      </c>
      <c r="J9">
        <v>0.38240000000000002</v>
      </c>
      <c r="K9">
        <v>30.027999999999999</v>
      </c>
      <c r="L9">
        <v>0.4108</v>
      </c>
      <c r="M9" s="2">
        <v>1.9470000000000001</v>
      </c>
      <c r="N9" s="2">
        <v>1.946</v>
      </c>
    </row>
    <row r="10" spans="2:14" x14ac:dyDescent="0.4">
      <c r="B10" t="s">
        <v>39</v>
      </c>
      <c r="C10" s="2">
        <v>1.5498000000000001</v>
      </c>
      <c r="D10" s="2">
        <v>1.5953999999999999</v>
      </c>
      <c r="E10" s="2">
        <v>4.5600000000000002E-2</v>
      </c>
      <c r="G10" s="4">
        <v>4</v>
      </c>
      <c r="H10" s="4">
        <v>29.97</v>
      </c>
      <c r="I10" s="2">
        <v>0.38790000000000002</v>
      </c>
      <c r="J10">
        <v>0.38900000000000001</v>
      </c>
      <c r="K10">
        <v>30.041</v>
      </c>
      <c r="L10">
        <v>0.42430000000000001</v>
      </c>
      <c r="M10" s="2">
        <v>2.2949999999999999</v>
      </c>
      <c r="N10" s="2">
        <v>2.2949999999999999</v>
      </c>
    </row>
    <row r="11" spans="2:14" x14ac:dyDescent="0.4">
      <c r="G11" s="4">
        <v>5</v>
      </c>
      <c r="H11" s="4">
        <v>29.971</v>
      </c>
      <c r="I11" s="2">
        <v>0.37630000000000002</v>
      </c>
      <c r="J11">
        <v>0.37740000000000001</v>
      </c>
      <c r="K11">
        <v>30.03</v>
      </c>
      <c r="L11">
        <v>0.41710000000000003</v>
      </c>
      <c r="M11" s="2">
        <v>0.92500000000000004</v>
      </c>
      <c r="N11" s="2">
        <v>0.92600000000000005</v>
      </c>
    </row>
    <row r="12" spans="2:14" x14ac:dyDescent="0.4">
      <c r="B12" s="17" t="s">
        <v>40</v>
      </c>
      <c r="C12" s="20">
        <v>1.0809</v>
      </c>
      <c r="D12" s="17"/>
      <c r="E12" s="17"/>
      <c r="G12" s="4">
        <v>6</v>
      </c>
      <c r="H12" s="4">
        <v>29.97</v>
      </c>
      <c r="I12" s="2">
        <v>0.40410000000000001</v>
      </c>
      <c r="J12">
        <v>0.40510000000000002</v>
      </c>
      <c r="K12">
        <v>30.053999999999998</v>
      </c>
      <c r="L12">
        <v>0.4234</v>
      </c>
      <c r="M12" s="2">
        <v>2.6850000000000001</v>
      </c>
      <c r="N12" s="2">
        <v>2.6850000000000001</v>
      </c>
    </row>
    <row r="13" spans="2:14" x14ac:dyDescent="0.4">
      <c r="B13" s="16" t="s">
        <v>41</v>
      </c>
      <c r="C13" s="21">
        <v>91.91</v>
      </c>
      <c r="D13" s="16"/>
      <c r="E13" s="16"/>
      <c r="G13" s="4">
        <v>7</v>
      </c>
      <c r="H13" s="4">
        <v>29.971</v>
      </c>
      <c r="I13" s="2">
        <v>0.39250000000000002</v>
      </c>
      <c r="J13">
        <v>0.39360000000000001</v>
      </c>
      <c r="K13">
        <v>29.998999999999999</v>
      </c>
      <c r="L13">
        <v>0.4168</v>
      </c>
      <c r="M13" s="2">
        <v>1.7609999999999999</v>
      </c>
      <c r="N13" s="2">
        <v>1.7589999999999999</v>
      </c>
    </row>
    <row r="14" spans="2:14" x14ac:dyDescent="0.4">
      <c r="G14" s="4">
        <v>8</v>
      </c>
      <c r="H14" s="4">
        <v>29.968</v>
      </c>
      <c r="I14" s="2">
        <v>0.39750000000000002</v>
      </c>
      <c r="J14">
        <v>0.39879999999999999</v>
      </c>
      <c r="K14">
        <v>30.026</v>
      </c>
      <c r="L14">
        <v>0.40050000000000002</v>
      </c>
      <c r="M14" s="2">
        <v>1.796</v>
      </c>
      <c r="N14" s="2">
        <v>1.796</v>
      </c>
    </row>
    <row r="15" spans="2:14" x14ac:dyDescent="0.4">
      <c r="G15" s="4">
        <v>9</v>
      </c>
      <c r="H15" s="4">
        <v>29.97</v>
      </c>
      <c r="I15" s="2">
        <v>0.3846</v>
      </c>
      <c r="J15">
        <v>0.38579999999999998</v>
      </c>
      <c r="K15">
        <v>30.038</v>
      </c>
      <c r="L15">
        <v>0.39129999999999998</v>
      </c>
      <c r="M15" s="2">
        <v>0.78800000000000003</v>
      </c>
      <c r="N15" s="2">
        <v>0.78800000000000003</v>
      </c>
    </row>
    <row r="16" spans="2:14" x14ac:dyDescent="0.4">
      <c r="G16" s="4">
        <v>10</v>
      </c>
      <c r="H16" s="4">
        <v>29.969000000000001</v>
      </c>
      <c r="I16" s="2">
        <v>0.40329999999999999</v>
      </c>
      <c r="J16">
        <v>0.40460000000000002</v>
      </c>
      <c r="K16">
        <v>30.030999999999999</v>
      </c>
      <c r="L16">
        <v>0.39460000000000001</v>
      </c>
      <c r="M16" s="2">
        <v>0.878</v>
      </c>
      <c r="N16" s="2">
        <v>0.878</v>
      </c>
    </row>
    <row r="17" spans="7:14" x14ac:dyDescent="0.4">
      <c r="G17" s="2" t="s">
        <v>43</v>
      </c>
      <c r="H17" s="2">
        <f>SUM(H7:H16)/G16</f>
        <v>29.9712</v>
      </c>
      <c r="I17" s="2">
        <f>SUM(I7:I16)/G16</f>
        <v>0.38177000000000005</v>
      </c>
      <c r="J17" s="2">
        <f>SUM(J7:J16)/G16</f>
        <v>0.38286000000000003</v>
      </c>
      <c r="K17" s="2">
        <f>SUM(K7:K16)/G16</f>
        <v>30.0305</v>
      </c>
      <c r="L17" s="2">
        <f>SUM(L7:L16)/G16</f>
        <v>0.41249999999999998</v>
      </c>
      <c r="M17" s="2">
        <f>SUM(M7:M16)/G16</f>
        <v>1.5496999999999999</v>
      </c>
      <c r="N17" s="2">
        <f>SUM(N7:N16)/G16</f>
        <v>1.5954000000000002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Epoch_Train_Val_Loss</vt:lpstr>
      <vt:lpstr>Mean Episode Altitude</vt:lpstr>
      <vt:lpstr>Root Mean Squared Error</vt:lpstr>
      <vt:lpstr>Altitude Standard Deviation</vt:lpstr>
      <vt:lpstr>Horizontal Drift</vt:lpstr>
      <vt:lpstr>Policy_Test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Anak Johnny</dc:creator>
  <cp:lastModifiedBy>techmon</cp:lastModifiedBy>
  <dcterms:created xsi:type="dcterms:W3CDTF">2015-06-05T18:19:34Z</dcterms:created>
  <dcterms:modified xsi:type="dcterms:W3CDTF">2026-08-09T21:14:48Z</dcterms:modified>
</cp:coreProperties>
</file>